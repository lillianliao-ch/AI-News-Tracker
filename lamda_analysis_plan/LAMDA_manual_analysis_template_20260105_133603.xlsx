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学生姓名</t>
        </is>
      </c>
      <c r="B1" s="1" t="inlineStr">
        <is>
          <t>导师</t>
        </is>
      </c>
      <c r="C1" s="1" t="inlineStr">
        <is>
          <t>入学年份</t>
        </is>
      </c>
      <c r="D1" s="1" t="inlineStr">
        <is>
          <t>预计毕业</t>
        </is>
      </c>
      <c r="E1" s="1" t="inlineStr">
        <is>
          <t>邮箱</t>
        </is>
      </c>
      <c r="F1" s="1" t="inlineStr">
        <is>
          <t>个人页面</t>
        </is>
      </c>
      <c r="G1" s="1" t="inlineStr">
        <is>
          <t>简介</t>
        </is>
      </c>
      <c r="H1" s="1" t="inlineStr">
        <is>
          <t>Google Scholar 搜索</t>
        </is>
      </c>
      <c r="I1" s="1" t="inlineStr">
        <is>
          <t>Semantic Scholar</t>
        </is>
      </c>
      <c r="J1" s="1" t="inlineStr">
        <is>
          <t>顶级论文数</t>
        </is>
      </c>
      <c r="K1" s="1" t="inlineStr">
        <is>
          <t>总引用数</t>
        </is>
      </c>
      <c r="L1" s="1" t="inlineStr">
        <is>
          <t>备注</t>
        </is>
      </c>
      <c r="M1" s="1" t="inlineStr">
        <is>
          <t>推荐程度</t>
        </is>
      </c>
    </row>
    <row r="2">
      <c r="A2" t="inlineStr">
        <is>
          <t>刘仁彪</t>
        </is>
      </c>
      <c r="B2" t="inlineStr">
        <is>
          <t>黎铭</t>
        </is>
      </c>
      <c r="C2" t="n">
        <v>2023</v>
      </c>
      <c r="D2" t="n">
        <v>2028</v>
      </c>
      <c r="E2" t="inlineStr">
        <is>
          <t>liurb@lamda.nju.edu.cn</t>
        </is>
      </c>
      <c r="F2" t="inlineStr">
        <is>
          <t>http://www.lamda.nju.edu.cn/liurb/</t>
        </is>
      </c>
      <c r="G2" t="inlineStr">
        <is>
          <t xml:space="preserve">Currently I am a third year Ph.D. student of School of Artificial Intelligence in Nanjing University and a member of LAMDA Group, led by professor Zhi-Hua Zhou. I received my B.Sc. degree from School </t>
        </is>
      </c>
      <c r="H2">
        <f>HYPERLINK("https://scholar.google.com/scholar?q=刘仁彪+黎铭";"搜索 刘仁彪")</f>
        <v/>
      </c>
      <c r="I2">
        <f>HYPERLINK("https://www.semanticscholar.org/search?q=刘仁彪%20Nanjing";"搜索 刘仁彪")</f>
        <v/>
      </c>
      <c r="J2" t="inlineStr"/>
      <c r="K2" t="inlineStr"/>
      <c r="L2" t="inlineStr"/>
      <c r="M2" t="inlineStr"/>
    </row>
    <row r="3">
      <c r="A3" t="inlineStr">
        <is>
          <t>孙辉</t>
        </is>
      </c>
      <c r="B3" t="inlineStr">
        <is>
          <t>黎铭</t>
        </is>
      </c>
      <c r="C3" t="n">
        <v>2023</v>
      </c>
      <c r="D3" t="n">
        <v>2028</v>
      </c>
      <c r="E3" t="inlineStr">
        <is>
          <t>sunh@lamda.nju.edu.cn</t>
        </is>
      </c>
      <c r="F3" t="inlineStr">
        <is>
          <t>http://www.lamda.nju.edu.cn/sunh/</t>
        </is>
      </c>
      <c r="G3" t="inlineStr">
        <is>
          <t>Research Publications Awards Experience Education Teaching Menu × Biography Research Publications Awards Experience Education Teaching Hui Sun (孙辉) Ph.D. Student at LAMDA Group, Nanjing University Sup</t>
        </is>
      </c>
      <c r="H3">
        <f>HYPERLINK("https://scholar.google.com/scholar?q=孙辉+黎铭";"搜索 孙辉")</f>
        <v/>
      </c>
      <c r="I3">
        <f>HYPERLINK("https://www.semanticscholar.org/search?q=孙辉%20Nanjing";"搜索 孙辉")</f>
        <v/>
      </c>
      <c r="J3" t="inlineStr"/>
      <c r="K3" t="inlineStr"/>
      <c r="L3" t="inlineStr"/>
      <c r="M3" t="inlineStr"/>
    </row>
    <row r="4">
      <c r="A4" t="inlineStr">
        <is>
          <t>杜雅莉</t>
        </is>
      </c>
      <c r="B4" t="inlineStr">
        <is>
          <t>黎铭</t>
        </is>
      </c>
      <c r="C4" t="n">
        <v>2024</v>
      </c>
      <c r="D4" t="n">
        <v>2029</v>
      </c>
      <c r="E4" t="inlineStr">
        <is>
          <t>duyl@lamda.nju.edu.cn</t>
        </is>
      </c>
      <c r="F4" t="inlineStr">
        <is>
          <t>http://www.lamda.nju.edu.cn/duyl/</t>
        </is>
      </c>
      <c r="G4" t="inlineStr">
        <is>
          <t>I am a second year Ph.D. student of School of Artificial Intelligence in Nanjing University and a member of LAMDA Group, which is led by professor Zhi-Hua Zhou. I received my B.Eng. degree from School</t>
        </is>
      </c>
      <c r="H4">
        <f>HYPERLINK("https://scholar.google.com/scholar?q=杜雅莉+黎铭";"搜索 杜雅莉")</f>
        <v/>
      </c>
      <c r="I4">
        <f>HYPERLINK("https://www.semanticscholar.org/search?q=杜雅莉%20Nanjing";"搜索 杜雅莉")</f>
        <v/>
      </c>
      <c r="J4" t="inlineStr"/>
      <c r="K4" t="inlineStr"/>
      <c r="L4" t="inlineStr"/>
      <c r="M4" t="inlineStr"/>
    </row>
    <row r="5">
      <c r="A5" t="inlineStr">
        <is>
          <t>何浩源</t>
        </is>
      </c>
      <c r="B5" t="inlineStr">
        <is>
          <t>黎铭</t>
        </is>
      </c>
      <c r="C5" t="n">
        <v>2024</v>
      </c>
      <c r="D5" t="n">
        <v>2029</v>
      </c>
      <c r="E5" t="inlineStr"/>
      <c r="F5" t="inlineStr">
        <is>
          <t>http://www.lamda.nju.edu.cn/hehy/</t>
        </is>
      </c>
      <c r="G5" t="inlineStr"/>
      <c r="H5">
        <f>HYPERLINK("https://scholar.google.com/scholar?q=何浩源+黎铭";"搜索 何浩源")</f>
        <v/>
      </c>
      <c r="I5">
        <f>HYPERLINK("https://www.semanticscholar.org/search?q=何浩源%20Nanjing";"搜索 何浩源")</f>
        <v/>
      </c>
      <c r="J5" t="inlineStr"/>
      <c r="K5" t="inlineStr"/>
      <c r="L5" t="inlineStr"/>
      <c r="M5" t="inlineStr"/>
    </row>
    <row r="6">
      <c r="A6" t="inlineStr">
        <is>
          <t>李鑫烨</t>
        </is>
      </c>
      <c r="B6" t="inlineStr">
        <is>
          <t>黎铭</t>
        </is>
      </c>
      <c r="C6" t="n">
        <v>2024</v>
      </c>
      <c r="D6" t="n">
        <v>2029</v>
      </c>
      <c r="E6" t="inlineStr"/>
      <c r="F6" t="inlineStr">
        <is>
          <t>https://www.lamda.nju.edu.cn/lixy/</t>
        </is>
      </c>
      <c r="G6" t="inlineStr">
        <is>
          <t xml:space="preserve">Me Currently, I am a first year Ph.D student at School of Artificial Intelligence in Nanjing University and a member of LAMDA group, led by Prof. ZhiHua-Zhou. I obtained my Master’s degree from LAMDA </t>
        </is>
      </c>
      <c r="H6">
        <f>HYPERLINK("https://scholar.google.com/scholar?q=李鑫烨+黎铭";"搜索 李鑫烨")</f>
        <v/>
      </c>
      <c r="I6">
        <f>HYPERLINK("https://www.semanticscholar.org/search?q=李鑫烨%20Nanjing";"搜索 李鑫烨")</f>
        <v/>
      </c>
      <c r="J6" t="inlineStr"/>
      <c r="K6" t="inlineStr"/>
      <c r="L6" t="inlineStr"/>
      <c r="M6" t="inlineStr"/>
    </row>
    <row r="7">
      <c r="A7" t="inlineStr">
        <is>
          <t>栾岱洋</t>
        </is>
      </c>
      <c r="B7" t="inlineStr">
        <is>
          <t>黎铭</t>
        </is>
      </c>
      <c r="C7" t="n">
        <v>2024</v>
      </c>
      <c r="D7" t="n">
        <v>2029</v>
      </c>
      <c r="E7" t="inlineStr">
        <is>
          <t>luandy@lamda.nju.edu.cn</t>
        </is>
      </c>
      <c r="F7" t="inlineStr">
        <is>
          <t>http://www.lamda.nju.edu.cn/luandy/</t>
        </is>
      </c>
      <c r="G7" t="inlineStr">
        <is>
          <t>Currently I am a first year graduate student of School of Artificial Intelligence in Nanjing University and a member of LAMDA Group, led by professor Zhi-Hua Zhou. I received my B.Sc. degree from Chie</t>
        </is>
      </c>
      <c r="H7">
        <f>HYPERLINK("https://scholar.google.com/scholar?q=栾岱洋+黎铭";"搜索 栾岱洋")</f>
        <v/>
      </c>
      <c r="I7">
        <f>HYPERLINK("https://www.semanticscholar.org/search?q=栾岱洋%20Nanjing";"搜索 栾岱洋")</f>
        <v/>
      </c>
      <c r="J7" t="inlineStr"/>
      <c r="K7" t="inlineStr"/>
      <c r="L7" t="inlineStr"/>
      <c r="M7" t="inlineStr"/>
    </row>
    <row r="8">
      <c r="A8" t="inlineStr">
        <is>
          <t>饶睿策</t>
        </is>
      </c>
      <c r="B8" t="inlineStr">
        <is>
          <t>黎铭</t>
        </is>
      </c>
      <c r="C8" t="n">
        <v>2024</v>
      </c>
      <c r="D8" t="n">
        <v>2029</v>
      </c>
      <c r="E8" t="inlineStr">
        <is>
          <t>raorc@lamda.nju.edu.cn</t>
        </is>
      </c>
      <c r="F8" t="inlineStr">
        <is>
          <t>http://www.lamda.nju.edu.cn/raorc/</t>
        </is>
      </c>
      <c r="G8" t="inlineStr">
        <is>
          <t>I am a first year graduate student of School of Artificial Intelligence in Nanjing University and a member of LAMDA Group, which is led by professor Zhi-Hua Zhou. I received my B.Sc. degree from Schoo</t>
        </is>
      </c>
      <c r="H8">
        <f>HYPERLINK("https://scholar.google.com/scholar?q=饶睿策+黎铭";"搜索 饶睿策")</f>
        <v/>
      </c>
      <c r="I8">
        <f>HYPERLINK("https://www.semanticscholar.org/search?q=饶睿策%20Nanjing";"搜索 饶睿策")</f>
        <v/>
      </c>
      <c r="J8" t="inlineStr"/>
      <c r="K8" t="inlineStr"/>
      <c r="L8" t="inlineStr"/>
      <c r="M8" t="inlineStr"/>
    </row>
    <row r="9">
      <c r="A9" t="inlineStr">
        <is>
          <t>沈新</t>
        </is>
      </c>
      <c r="B9" t="inlineStr">
        <is>
          <t>黎铭</t>
        </is>
      </c>
      <c r="C9" t="n">
        <v>2024</v>
      </c>
      <c r="D9" t="n">
        <v>2029</v>
      </c>
      <c r="E9" t="inlineStr">
        <is>
          <t>shenx@lamda.nju.edu.cn</t>
        </is>
      </c>
      <c r="F9" t="inlineStr">
        <is>
          <t>http://www.lamda.nju.edu.cn/shenx/</t>
        </is>
      </c>
      <c r="G9" t="inlineStr">
        <is>
          <t>Currently I am a first year graduate student of School of Artificial Intelligence in Nanjing University and a member of LAMDA Group(LAMDA Publications), led by professor Zhi-Hua Zhou. I received my B.</t>
        </is>
      </c>
      <c r="H9">
        <f>HYPERLINK("https://scholar.google.com/scholar?q=沈新+黎铭";"搜索 沈新")</f>
        <v/>
      </c>
      <c r="I9">
        <f>HYPERLINK("https://www.semanticscholar.org/search?q=沈新%20Nanjing";"搜索 沈新")</f>
        <v/>
      </c>
      <c r="J9" t="inlineStr"/>
      <c r="K9" t="inlineStr"/>
      <c r="L9" t="inlineStr"/>
      <c r="M9" t="inlineStr"/>
    </row>
    <row r="10">
      <c r="A10" t="inlineStr">
        <is>
          <t>毛子钰</t>
        </is>
      </c>
      <c r="B10" t="inlineStr">
        <is>
          <t>黎铭</t>
        </is>
      </c>
      <c r="C10" t="n">
        <v>2025</v>
      </c>
      <c r="D10" t="n">
        <v>2030</v>
      </c>
      <c r="E10" t="inlineStr"/>
      <c r="F10" t="inlineStr">
        <is>
          <t>http://www.lamda.nju.edu.cn/maozy/</t>
        </is>
      </c>
      <c r="G10" t="inlineStr"/>
      <c r="H10">
        <f>HYPERLINK("https://scholar.google.com/scholar?q=毛子钰+黎铭";"搜索 毛子钰")</f>
        <v/>
      </c>
      <c r="I10">
        <f>HYPERLINK("https://www.semanticscholar.org/search?q=毛子钰%20Nanjing";"搜索 毛子钰")</f>
        <v/>
      </c>
      <c r="J10" t="inlineStr"/>
      <c r="K10" t="inlineStr"/>
      <c r="L10" t="inlineStr"/>
      <c r="M10" t="inlineStr"/>
    </row>
    <row r="11">
      <c r="A11" t="inlineStr">
        <is>
          <t>薛江天</t>
        </is>
      </c>
      <c r="B11" t="inlineStr">
        <is>
          <t>黎铭</t>
        </is>
      </c>
      <c r="C11" t="n">
        <v>2025</v>
      </c>
      <c r="D11" t="n">
        <v>2030</v>
      </c>
      <c r="E11" t="inlineStr">
        <is>
          <t>xuejt@lamda.nju.edu.cn</t>
        </is>
      </c>
      <c r="F11" t="inlineStr">
        <is>
          <t>http://www.lamda.nju.edu.cn/xuejt/</t>
        </is>
      </c>
      <c r="G11" t="inlineStr">
        <is>
          <t>I am a first year graduate student of School of Artificial Intelligence in Nanjing University and a member of LAMDA Group, which is led by professor Zhi-Hua Zhou. I received my B.Sc. degree from Schoo</t>
        </is>
      </c>
      <c r="H11">
        <f>HYPERLINK("https://scholar.google.com/scholar?q=薛江天+黎铭";"搜索 薛江天")</f>
        <v/>
      </c>
      <c r="I11">
        <f>HYPERLINK("https://www.semanticscholar.org/search?q=薛江天%20Nanjing";"搜索 薛江天")</f>
        <v/>
      </c>
      <c r="J11" t="inlineStr"/>
      <c r="K11" t="inlineStr"/>
      <c r="L11" t="inlineStr"/>
      <c r="M11" t="inlineStr"/>
    </row>
    <row r="12">
      <c r="A12" t="inlineStr">
        <is>
          <t>邵杰晶</t>
        </is>
      </c>
      <c r="B12" t="inlineStr">
        <is>
          <t>李宇峰</t>
        </is>
      </c>
      <c r="C12" t="n">
        <v>2022</v>
      </c>
      <c r="D12" t="n">
        <v>2027</v>
      </c>
      <c r="E12" t="inlineStr">
        <is>
          <t>shaojj@lamda.nju.edu.cn</t>
        </is>
      </c>
      <c r="F12" t="inlineStr">
        <is>
          <t>http://www.lamda.nju.edu.cn/shaojj/</t>
        </is>
      </c>
      <c r="G12" t="inlineStr">
        <is>
          <t>I am a graduate student from Department of Computer Science &amp; Technology in Nanjing University and a member of LAMDA Group, which is led by professor Zhi-Hua Zhou. I received my B.Sc. degree from Coll</t>
        </is>
      </c>
      <c r="H12">
        <f>HYPERLINK("https://scholar.google.com/scholar?q=邵杰晶+李宇峰";"搜索 邵杰晶")</f>
        <v/>
      </c>
      <c r="I12">
        <f>HYPERLINK("https://www.semanticscholar.org/search?q=邵杰晶%20Nanjing";"搜索 邵杰晶")</f>
        <v/>
      </c>
      <c r="J12" t="inlineStr"/>
      <c r="K12" t="inlineStr"/>
      <c r="L12" t="inlineStr"/>
      <c r="M12" t="inlineStr"/>
    </row>
    <row r="13">
      <c r="A13" t="inlineStr">
        <is>
          <t>周植</t>
        </is>
      </c>
      <c r="B13" t="inlineStr">
        <is>
          <t>李宇峰</t>
        </is>
      </c>
      <c r="C13" t="n">
        <v>2022</v>
      </c>
      <c r="D13" t="n">
        <v>2027</v>
      </c>
      <c r="E13" t="inlineStr"/>
      <c r="F13" t="inlineStr">
        <is>
          <t>http://www.lamda.nju.edu.cn/zhouz/</t>
        </is>
      </c>
      <c r="G13" t="inlineStr"/>
      <c r="H13">
        <f>HYPERLINK("https://scholar.google.com/scholar?q=周植+李宇峰";"搜索 周植")</f>
        <v/>
      </c>
      <c r="I13">
        <f>HYPERLINK("https://www.semanticscholar.org/search?q=周植%20Nanjing";"搜索 周植")</f>
        <v/>
      </c>
      <c r="J13" t="inlineStr"/>
      <c r="K13" t="inlineStr"/>
      <c r="L13" t="inlineStr"/>
      <c r="M13" t="inlineStr"/>
    </row>
    <row r="14">
      <c r="A14" t="inlineStr">
        <is>
          <t>侍蒋鑫</t>
        </is>
      </c>
      <c r="B14" t="inlineStr">
        <is>
          <t>李宇峰</t>
        </is>
      </c>
      <c r="C14" t="n">
        <v>2023</v>
      </c>
      <c r="D14" t="n">
        <v>2028</v>
      </c>
      <c r="E14" t="inlineStr">
        <is>
          <t>shijx@lamda.nju.edu.cn</t>
        </is>
      </c>
      <c r="F14" t="inlineStr">
        <is>
          <t>http://www.lamda.nju.edu.cn/shijx/</t>
        </is>
      </c>
      <c r="G14" t="inlineStr">
        <is>
          <t>Currently, I am pursuing my Ph.D. degree at the School of Artificial Intelligence, Nanjing University. I am also a member of LAMDA Group, which is led by Professor Zhi-Hua Zhou. 2023.09 - Now: Ph.D. S</t>
        </is>
      </c>
      <c r="H14">
        <f>HYPERLINK("https://scholar.google.com/scholar?q=侍蒋鑫+李宇峰";"搜索 侍蒋鑫")</f>
        <v/>
      </c>
      <c r="I14">
        <f>HYPERLINK("https://www.semanticscholar.org/search?q=侍蒋鑫%20Nanjing";"搜索 侍蒋鑫")</f>
        <v/>
      </c>
      <c r="J14" t="inlineStr"/>
      <c r="K14" t="inlineStr"/>
      <c r="L14" t="inlineStr"/>
      <c r="M14" t="inlineStr"/>
    </row>
    <row r="15">
      <c r="A15" t="inlineStr">
        <is>
          <t>贾林瀚</t>
        </is>
      </c>
      <c r="B15" t="inlineStr">
        <is>
          <t>李宇峰</t>
        </is>
      </c>
      <c r="C15" t="n">
        <v>2024</v>
      </c>
      <c r="D15" t="n">
        <v>2029</v>
      </c>
      <c r="E15" t="inlineStr">
        <is>
          <t>jialh@lamda.nju.edu.cn</t>
        </is>
      </c>
      <c r="F15" t="inlineStr">
        <is>
          <t>http://www.lamda.nju.edu.cn/jialh/</t>
        </is>
      </c>
      <c r="G15" t="inlineStr">
        <is>
          <t>Currently I'm pursuing my Ph.D. degree in the Department of Computer Science and Technology at Nanjing University where I'm fortunate to be advised by Prof. Yu-Feng Li. I'm also a member of LAMDA Grou</t>
        </is>
      </c>
      <c r="H15">
        <f>HYPERLINK("https://scholar.google.com/scholar?q=贾林瀚+李宇峰";"搜索 贾林瀚")</f>
        <v/>
      </c>
      <c r="I15">
        <f>HYPERLINK("https://www.semanticscholar.org/search?q=贾林瀚%20Nanjing";"搜索 贾林瀚")</f>
        <v/>
      </c>
      <c r="J15" t="inlineStr"/>
      <c r="K15" t="inlineStr"/>
      <c r="L15" t="inlineStr"/>
      <c r="M15" t="inlineStr"/>
    </row>
    <row r="16">
      <c r="A16" t="inlineStr">
        <is>
          <t>王韬涛</t>
        </is>
      </c>
      <c r="B16" t="inlineStr">
        <is>
          <t>李宇峰</t>
        </is>
      </c>
      <c r="C16" t="n">
        <v>2025</v>
      </c>
      <c r="D16" t="n">
        <v>2030</v>
      </c>
      <c r="E16" t="inlineStr"/>
      <c r="F16" t="inlineStr">
        <is>
          <t>http://www.lamda.nju.edu.cn/wangtt/</t>
        </is>
      </c>
      <c r="G16" t="inlineStr"/>
      <c r="H16">
        <f>HYPERLINK("https://scholar.google.com/scholar?q=王韬涛+李宇峰";"搜索 王韬涛")</f>
        <v/>
      </c>
      <c r="I16">
        <f>HYPERLINK("https://www.semanticscholar.org/search?q=王韬涛%20Nanjing";"搜索 王韬涛")</f>
        <v/>
      </c>
      <c r="J16" t="inlineStr"/>
      <c r="K16" t="inlineStr"/>
      <c r="L16" t="inlineStr"/>
      <c r="M16" t="inlineStr"/>
    </row>
    <row r="17">
      <c r="A17" t="inlineStr">
        <is>
          <t>杨骁文</t>
        </is>
      </c>
      <c r="B17" t="inlineStr">
        <is>
          <t>李宇峰</t>
        </is>
      </c>
      <c r="C17" t="n">
        <v>2025</v>
      </c>
      <c r="D17" t="n">
        <v>2030</v>
      </c>
      <c r="E17" t="inlineStr"/>
      <c r="F17" t="inlineStr">
        <is>
          <t>http://www.lamda.nju.edu.cn/yangxw/</t>
        </is>
      </c>
      <c r="G17" t="inlineStr"/>
      <c r="H17">
        <f>HYPERLINK("https://scholar.google.com/scholar?q=杨骁文+李宇峰";"搜索 杨骁文")</f>
        <v/>
      </c>
      <c r="I17">
        <f>HYPERLINK("https://www.semanticscholar.org/search?q=杨骁文%20Nanjing";"搜索 杨骁文")</f>
        <v/>
      </c>
      <c r="J17" t="inlineStr"/>
      <c r="K17" t="inlineStr"/>
      <c r="L17" t="inlineStr"/>
      <c r="M17" t="inlineStr"/>
    </row>
    <row r="18">
      <c r="A18" t="inlineStr">
        <is>
          <t>张甲</t>
        </is>
      </c>
      <c r="B18" t="inlineStr">
        <is>
          <t>李宇峰</t>
        </is>
      </c>
      <c r="C18" t="n">
        <v>2025</v>
      </c>
      <c r="D18" t="n">
        <v>2030</v>
      </c>
      <c r="E18" t="inlineStr"/>
      <c r="F18" t="inlineStr">
        <is>
          <t>http://www.lamda.nju.edu.cn/zhangjia/</t>
        </is>
      </c>
      <c r="G18" t="inlineStr"/>
      <c r="H18">
        <f>HYPERLINK("https://scholar.google.com/scholar?q=张甲+李宇峰";"搜索 张甲")</f>
        <v/>
      </c>
      <c r="I18">
        <f>HYPERLINK("https://www.semanticscholar.org/search?q=张甲%20Nanjing";"搜索 张甲")</f>
        <v/>
      </c>
      <c r="J18" t="inlineStr"/>
      <c r="K18" t="inlineStr"/>
      <c r="L18" t="inlineStr"/>
      <c r="M18" t="inlineStr"/>
    </row>
    <row r="19">
      <c r="A19" t="inlineStr">
        <is>
          <t>刘丹璇</t>
        </is>
      </c>
      <c r="B19" t="inlineStr">
        <is>
          <t>钱超</t>
        </is>
      </c>
      <c r="C19" t="n">
        <v>2022</v>
      </c>
      <c r="D19" t="n">
        <v>2027</v>
      </c>
      <c r="E19" t="inlineStr">
        <is>
          <t>liudx@lamda.nju.edu.cn</t>
        </is>
      </c>
      <c r="F19" t="inlineStr">
        <is>
          <t>http://www.lamda.nju.edu.cn/liudx/</t>
        </is>
      </c>
      <c r="G19" t="inlineStr">
        <is>
          <t>Sep 2020 - Now : Ph.D. candidate in Computer Science, School of Artificial Intelligence, Nanjing University. Sep 2016 - Jun 2020 : B.Eng. degree from Software College of Jilin University. Edit Researc</t>
        </is>
      </c>
      <c r="H19">
        <f>HYPERLINK("https://scholar.google.com/scholar?q=刘丹璇+钱超";"搜索 刘丹璇")</f>
        <v/>
      </c>
      <c r="I19">
        <f>HYPERLINK("https://www.semanticscholar.org/search?q=刘丹璇%20Nanjing";"搜索 刘丹璇")</f>
        <v/>
      </c>
      <c r="J19" t="inlineStr"/>
      <c r="K19" t="inlineStr"/>
      <c r="L19" t="inlineStr"/>
      <c r="M19" t="inlineStr"/>
    </row>
    <row r="20">
      <c r="A20" t="inlineStr">
        <is>
          <t>薛轲</t>
        </is>
      </c>
      <c r="B20" t="inlineStr">
        <is>
          <t>钱超</t>
        </is>
      </c>
      <c r="C20" t="n">
        <v>2022</v>
      </c>
      <c r="D20" t="n">
        <v>2027</v>
      </c>
      <c r="E20" t="inlineStr"/>
      <c r="F20" t="inlineStr">
        <is>
          <t>http://www.lamda.nju.edu.cn/xuek/</t>
        </is>
      </c>
      <c r="G20" t="inlineStr">
        <is>
          <t xml:space="preserve">2019/09 - Present Ph.D. candidate in Computer Science, School of Artificial Intelligence, Nanjing University 2015/09 - 2019/06 B.Sc. in Mathematics and Applied Mathematics, School of Mathematics, Sun </t>
        </is>
      </c>
      <c r="H20">
        <f>HYPERLINK("https://scholar.google.com/scholar?q=薛轲+钱超";"搜索 薛轲")</f>
        <v/>
      </c>
      <c r="I20">
        <f>HYPERLINK("https://www.semanticscholar.org/search?q=薛轲%20Nanjing";"搜索 薛轲")</f>
        <v/>
      </c>
      <c r="J20" t="inlineStr"/>
      <c r="K20" t="inlineStr"/>
      <c r="L20" t="inlineStr"/>
      <c r="M20" t="inlineStr"/>
    </row>
    <row r="21">
      <c r="A21" t="inlineStr">
        <is>
          <t>尚昊璞</t>
        </is>
      </c>
      <c r="B21" t="inlineStr">
        <is>
          <t>钱超</t>
        </is>
      </c>
      <c r="C21" t="n">
        <v>2023</v>
      </c>
      <c r="D21" t="n">
        <v>2028</v>
      </c>
      <c r="E21" t="inlineStr"/>
      <c r="F21" t="inlineStr">
        <is>
          <t>http://www.lamda.nju.edu.cn/shanghp/</t>
        </is>
      </c>
      <c r="G21" t="inlineStr">
        <is>
          <t>I received my B.Sc.degree in June 2019 from Hunan University and M.Sc. degree in June 2022 from School of Artificial Intelligence, Nanjing University. After that, I worked as a Research Assistant in A</t>
        </is>
      </c>
      <c r="H21">
        <f>HYPERLINK("https://scholar.google.com/scholar?q=尚昊璞+钱超";"搜索 尚昊璞")</f>
        <v/>
      </c>
      <c r="I21">
        <f>HYPERLINK("https://www.semanticscholar.org/search?q=尚昊璞%20Nanjing";"搜索 尚昊璞")</f>
        <v/>
      </c>
      <c r="J21" t="inlineStr"/>
      <c r="K21" t="inlineStr"/>
      <c r="L21" t="inlineStr"/>
      <c r="M21" t="inlineStr"/>
    </row>
    <row r="22">
      <c r="A22" t="inlineStr">
        <is>
          <t>高成睿</t>
        </is>
      </c>
      <c r="B22" t="inlineStr">
        <is>
          <t>钱超</t>
        </is>
      </c>
      <c r="C22" t="n">
        <v>2024</v>
      </c>
      <c r="D22" t="n">
        <v>2029</v>
      </c>
      <c r="E22" t="inlineStr"/>
      <c r="F22" t="inlineStr">
        <is>
          <t>http://www.lamda.nju.edu.cn/gaocr/</t>
        </is>
      </c>
      <c r="G22" t="inlineStr"/>
      <c r="H22">
        <f>HYPERLINK("https://scholar.google.com/scholar?q=高成睿+钱超";"搜索 高成睿")</f>
        <v/>
      </c>
      <c r="I22">
        <f>HYPERLINK("https://www.semanticscholar.org/search?q=高成睿%20Nanjing";"搜索 高成睿")</f>
        <v/>
      </c>
      <c r="J22" t="inlineStr"/>
      <c r="K22" t="inlineStr"/>
      <c r="L22" t="inlineStr"/>
      <c r="M22" t="inlineStr"/>
    </row>
    <row r="23">
      <c r="A23" t="inlineStr">
        <is>
          <t>王任柬</t>
        </is>
      </c>
      <c r="B23" t="inlineStr">
        <is>
          <t>钱超</t>
        </is>
      </c>
      <c r="C23" t="n">
        <v>2024</v>
      </c>
      <c r="D23" t="n">
        <v>2029</v>
      </c>
      <c r="E23" t="inlineStr"/>
      <c r="F23" t="inlineStr">
        <is>
          <t>http://www.lamda.nju.edu.cn/wangrj/</t>
        </is>
      </c>
      <c r="G23" t="inlineStr">
        <is>
          <t>Me I am a Ph.D. student of School of Artificial Intelligence in Nanjing University, under the supervision of Associate Prof. Chao Qian, and a member of LAMDA Group, led by professor Zhi-Hua Zhou. Rese</t>
        </is>
      </c>
      <c r="H23">
        <f>HYPERLINK("https://scholar.google.com/scholar?q=王任柬+钱超";"搜索 王任柬")</f>
        <v/>
      </c>
      <c r="I23">
        <f>HYPERLINK("https://www.semanticscholar.org/search?q=王任柬%20Nanjing";"搜索 王任柬")</f>
        <v/>
      </c>
      <c r="J23" t="inlineStr"/>
      <c r="K23" t="inlineStr"/>
      <c r="L23" t="inlineStr"/>
      <c r="M23" t="inlineStr"/>
    </row>
    <row r="24">
      <c r="A24" t="inlineStr">
        <is>
          <t>李敏辉</t>
        </is>
      </c>
      <c r="B24" t="inlineStr">
        <is>
          <t>俞扬</t>
        </is>
      </c>
      <c r="C24" t="n">
        <v>2021</v>
      </c>
      <c r="D24" t="n">
        <v>2026</v>
      </c>
      <c r="E24" t="inlineStr"/>
      <c r="F24" t="inlineStr">
        <is>
          <t>http://www.lamda.nju.edu.cn/limh/</t>
        </is>
      </c>
      <c r="G24" t="inlineStr">
        <is>
          <t xml:space="preserve">I am a second year Ph.D. student of School of Artificial Intelligence in Nanjing University and a member of LAMDA Group, which is led by Professor Zhi-Hua Zhou. Education 2021.9~Present Ph.D. student </t>
        </is>
      </c>
      <c r="H24">
        <f>HYPERLINK("https://scholar.google.com/scholar?q=李敏辉+俞扬";"搜索 李敏辉")</f>
        <v/>
      </c>
      <c r="I24">
        <f>HYPERLINK("https://www.semanticscholar.org/search?q=李敏辉%20Nanjing";"搜索 李敏辉")</f>
        <v/>
      </c>
      <c r="J24" t="inlineStr"/>
      <c r="K24" t="inlineStr"/>
      <c r="L24" t="inlineStr"/>
      <c r="M24" t="inlineStr"/>
    </row>
    <row r="25">
      <c r="A25" t="inlineStr">
        <is>
          <t>王健树</t>
        </is>
      </c>
      <c r="B25" t="inlineStr">
        <is>
          <t>俞扬</t>
        </is>
      </c>
      <c r="C25" t="n">
        <v>2021</v>
      </c>
      <c r="D25" t="n">
        <v>2026</v>
      </c>
      <c r="E25" t="inlineStr">
        <is>
          <t>wangjianshu@lamda.nju.edu.cn</t>
        </is>
      </c>
      <c r="F25" t="inlineStr">
        <is>
          <t>http://www.lamda.nju.edu.cn/wangjianshu/</t>
        </is>
      </c>
      <c r="G25" t="inlineStr">
        <is>
          <t>Currently I am a first year Ph.D. candidate in LAMDA Group, which is led by professor Zhi-Hua Zhou. Education 2021.9~ Ph.D. candidate: Computer Science and Technology, School of Artificial Intelligenc</t>
        </is>
      </c>
      <c r="H25">
        <f>HYPERLINK("https://scholar.google.com/scholar?q=王健树+俞扬";"搜索 王健树")</f>
        <v/>
      </c>
      <c r="I25">
        <f>HYPERLINK("https://www.semanticscholar.org/search?q=王健树%20Nanjing";"搜索 王健树")</f>
        <v/>
      </c>
      <c r="J25" t="inlineStr"/>
      <c r="K25" t="inlineStr"/>
      <c r="L25" t="inlineStr"/>
      <c r="M25" t="inlineStr"/>
    </row>
    <row r="26">
      <c r="A26" t="inlineStr">
        <is>
          <t>张仲楠</t>
        </is>
      </c>
      <c r="B26" t="inlineStr">
        <is>
          <t>俞扬</t>
        </is>
      </c>
      <c r="C26" t="n">
        <v>2021</v>
      </c>
      <c r="D26" t="n">
        <v>2026</v>
      </c>
      <c r="E26" t="inlineStr">
        <is>
          <t>zhangzn@lamda.nju.edu.cn</t>
        </is>
      </c>
      <c r="F26" t="inlineStr">
        <is>
          <t>http://www.lamda.nju.edu.cn/zhangzn/</t>
        </is>
      </c>
      <c r="G26" t="inlineStr">
        <is>
          <t>I am a second year Ph.D. candidate enrolled in Department of Computer Science and Technology and a member of LAMDA Group, led by Professor Zhi-Hua Zhou. Before my Ph.D. journey, I had already been wor</t>
        </is>
      </c>
      <c r="H26">
        <f>HYPERLINK("https://scholar.google.com/scholar?q=张仲楠+俞扬";"搜索 张仲楠")</f>
        <v/>
      </c>
      <c r="I26">
        <f>HYPERLINK("https://www.semanticscholar.org/search?q=张仲楠%20Nanjing";"搜索 张仲楠")</f>
        <v/>
      </c>
      <c r="J26" t="inlineStr"/>
      <c r="K26" t="inlineStr"/>
      <c r="L26" t="inlineStr"/>
      <c r="M26" t="inlineStr"/>
    </row>
    <row r="27">
      <c r="A27" t="inlineStr">
        <is>
          <t>贾乘兴</t>
        </is>
      </c>
      <c r="B27" t="inlineStr">
        <is>
          <t>俞扬</t>
        </is>
      </c>
      <c r="C27" t="n">
        <v>2022</v>
      </c>
      <c r="D27" t="n">
        <v>2027</v>
      </c>
      <c r="E27" t="inlineStr">
        <is>
          <t>jiacx@lamda.nju.edu.cn</t>
        </is>
      </c>
      <c r="F27" t="inlineStr">
        <is>
          <t>http://www.lamda.nju.edu.cn/jiacx/</t>
        </is>
      </c>
      <c r="G27" t="inlineStr"/>
      <c r="H27">
        <f>HYPERLINK("https://scholar.google.com/scholar?q=贾乘兴+俞扬";"搜索 贾乘兴")</f>
        <v/>
      </c>
      <c r="I27">
        <f>HYPERLINK("https://www.semanticscholar.org/search?q=贾乘兴%20Nanjing";"搜索 贾乘兴")</f>
        <v/>
      </c>
      <c r="J27" t="inlineStr"/>
      <c r="K27" t="inlineStr"/>
      <c r="L27" t="inlineStr"/>
      <c r="M27" t="inlineStr"/>
    </row>
    <row r="28">
      <c r="A28" t="inlineStr">
        <is>
          <t>刘旭辉</t>
        </is>
      </c>
      <c r="B28" t="inlineStr">
        <is>
          <t>俞扬</t>
        </is>
      </c>
      <c r="C28" t="n">
        <v>2022</v>
      </c>
      <c r="D28" t="n">
        <v>2027</v>
      </c>
      <c r="E28" t="inlineStr">
        <is>
          <t>liuxh@lamda.nju.edu.cn</t>
        </is>
      </c>
      <c r="F28" t="inlineStr">
        <is>
          <t>http://www.lamda.nju.edu.cn/liuxh/</t>
        </is>
      </c>
      <c r="G28" t="inlineStr"/>
      <c r="H28">
        <f>HYPERLINK("https://scholar.google.com/scholar?q=刘旭辉+俞扬";"搜索 刘旭辉")</f>
        <v/>
      </c>
      <c r="I28">
        <f>HYPERLINK("https://www.semanticscholar.org/search?q=刘旭辉%20Nanjing";"搜索 刘旭辉")</f>
        <v/>
      </c>
      <c r="J28" t="inlineStr"/>
      <c r="K28" t="inlineStr"/>
      <c r="L28" t="inlineStr"/>
      <c r="M28" t="inlineStr"/>
    </row>
    <row r="29">
      <c r="A29" t="inlineStr">
        <is>
          <t>陈瑞峰</t>
        </is>
      </c>
      <c r="B29" t="inlineStr">
        <is>
          <t>俞扬</t>
        </is>
      </c>
      <c r="C29" t="n">
        <v>2023</v>
      </c>
      <c r="D29" t="n">
        <v>2028</v>
      </c>
      <c r="E29" t="inlineStr">
        <is>
          <t>chenrf@lamda.nju.edu.cn</t>
        </is>
      </c>
      <c r="F29" t="inlineStr">
        <is>
          <t>http://www.lamda.nju.edu.cn/chenrf/</t>
        </is>
      </c>
      <c r="G29" t="inlineStr">
        <is>
          <t>Currently I am a second year Ph.D. student of School of Artificial Intelligence in Nanjing University and a member of LAMDA Group, which is led by professor Zhi-Hua Zhou. I received my B.Sc. degree in</t>
        </is>
      </c>
      <c r="H29">
        <f>HYPERLINK("https://scholar.google.com/scholar?q=陈瑞峰+俞扬";"搜索 陈瑞峰")</f>
        <v/>
      </c>
      <c r="I29">
        <f>HYPERLINK("https://www.semanticscholar.org/search?q=陈瑞峰%20Nanjing";"搜索 陈瑞峰")</f>
        <v/>
      </c>
      <c r="J29" t="inlineStr"/>
      <c r="K29" t="inlineStr"/>
      <c r="L29" t="inlineStr"/>
      <c r="M29" t="inlineStr"/>
    </row>
    <row r="30">
      <c r="A30" t="inlineStr">
        <is>
          <t>刘朋森</t>
        </is>
      </c>
      <c r="B30" t="inlineStr">
        <is>
          <t>俞扬</t>
        </is>
      </c>
      <c r="C30" t="n">
        <v>2023</v>
      </c>
      <c r="D30" t="n">
        <v>2028</v>
      </c>
      <c r="E30" t="inlineStr">
        <is>
          <t>liups@lamda.nju.edu.cn</t>
        </is>
      </c>
      <c r="F30" t="inlineStr">
        <is>
          <t>http://www.lamda.nju.edu.cn/liups/</t>
        </is>
      </c>
      <c r="G30" t="inlineStr">
        <is>
          <t>Currently I am a first year Ph.D. student of School of Artificial Intelligence in Nanjing University and a member of LAMDA Group, led by professor Zhi-Hua Zhou. I received my M.Sc. degree of Engineeri</t>
        </is>
      </c>
      <c r="H30">
        <f>HYPERLINK("https://scholar.google.com/scholar?q=刘朋森+俞扬";"搜索 刘朋森")</f>
        <v/>
      </c>
      <c r="I30">
        <f>HYPERLINK("https://www.semanticscholar.org/search?q=刘朋森%20Nanjing";"搜索 刘朋森")</f>
        <v/>
      </c>
      <c r="J30" t="inlineStr"/>
      <c r="K30" t="inlineStr"/>
      <c r="L30" t="inlineStr"/>
      <c r="M30" t="inlineStr"/>
    </row>
    <row r="31">
      <c r="A31" t="inlineStr">
        <is>
          <t>何克杰</t>
        </is>
      </c>
      <c r="B31" t="inlineStr">
        <is>
          <t>俞扬</t>
        </is>
      </c>
      <c r="C31" t="n">
        <v>2024</v>
      </c>
      <c r="D31" t="n">
        <v>2029</v>
      </c>
      <c r="E31" t="inlineStr">
        <is>
          <t>hekj@lamda.nju.edu.cn</t>
        </is>
      </c>
      <c r="F31" t="inlineStr">
        <is>
          <t>http://www.lamda.nju.edu.cn/hekj/</t>
        </is>
      </c>
      <c r="G31" t="inlineStr">
        <is>
          <t>Ph.D. student of School of Artificial Intelligence at Nanjing University, advised by Professor Yang Yu. Member of LAMDA Group, guided by professor Zhi-Hua Zhou. Master of Science in Software Engineeri</t>
        </is>
      </c>
      <c r="H31">
        <f>HYPERLINK("https://scholar.google.com/scholar?q=何克杰+俞扬";"搜索 何克杰")</f>
        <v/>
      </c>
      <c r="I31">
        <f>HYPERLINK("https://www.semanticscholar.org/search?q=何克杰%20Nanjing";"搜索 何克杰")</f>
        <v/>
      </c>
      <c r="J31" t="inlineStr"/>
      <c r="K31" t="inlineStr"/>
      <c r="L31" t="inlineStr"/>
      <c r="M31" t="inlineStr"/>
    </row>
    <row r="32">
      <c r="A32" t="inlineStr">
        <is>
          <t>林浩鑫</t>
        </is>
      </c>
      <c r="B32" t="inlineStr">
        <is>
          <t>俞扬</t>
        </is>
      </c>
      <c r="C32" t="n">
        <v>2024</v>
      </c>
      <c r="D32" t="n">
        <v>2029</v>
      </c>
      <c r="E32" t="inlineStr"/>
      <c r="F32" t="inlineStr">
        <is>
          <t>http://www.lamda.nju.edu.cn/linhx/</t>
        </is>
      </c>
      <c r="G32" t="inlineStr"/>
      <c r="H32">
        <f>HYPERLINK("https://scholar.google.com/scholar?q=林浩鑫+俞扬";"搜索 林浩鑫")</f>
        <v/>
      </c>
      <c r="I32">
        <f>HYPERLINK("https://www.semanticscholar.org/search?q=林浩鑫%20Nanjing";"搜索 林浩鑫")</f>
        <v/>
      </c>
      <c r="J32" t="inlineStr"/>
      <c r="K32" t="inlineStr"/>
      <c r="L32" t="inlineStr"/>
      <c r="M32" t="inlineStr"/>
    </row>
    <row r="33">
      <c r="A33" t="inlineStr">
        <is>
          <t>汤楠</t>
        </is>
      </c>
      <c r="B33" t="inlineStr">
        <is>
          <t>俞扬</t>
        </is>
      </c>
      <c r="C33" t="n">
        <v>2024</v>
      </c>
      <c r="D33" t="n">
        <v>2029</v>
      </c>
      <c r="E33" t="inlineStr">
        <is>
          <t>tangn@lamda.nju.edu.cn</t>
        </is>
      </c>
      <c r="F33" t="inlineStr">
        <is>
          <t>http://www.lamda.nju.edu.cn/tangn/</t>
        </is>
      </c>
      <c r="G33" t="inlineStr">
        <is>
          <t>Currently I am a first year Ph.d student of School of Artificial Intelligence in Nanjing University and a member of LAMDA Group, led by professor Zhi-Hua Zhou. I got my B.Sc. degree in Kuang Yaming Ho</t>
        </is>
      </c>
      <c r="H33">
        <f>HYPERLINK("https://scholar.google.com/scholar?q=汤楠+俞扬";"搜索 汤楠")</f>
        <v/>
      </c>
      <c r="I33">
        <f>HYPERLINK("https://www.semanticscholar.org/search?q=汤楠%20Nanjing";"搜索 汤楠")</f>
        <v/>
      </c>
      <c r="J33" t="inlineStr"/>
      <c r="K33" t="inlineStr"/>
      <c r="L33" t="inlineStr"/>
      <c r="M33" t="inlineStr"/>
    </row>
    <row r="34">
      <c r="A34" t="inlineStr">
        <is>
          <t>王鹏远</t>
        </is>
      </c>
      <c r="B34" t="inlineStr">
        <is>
          <t>俞扬</t>
        </is>
      </c>
      <c r="C34" t="n">
        <v>2024</v>
      </c>
      <c r="D34" t="n">
        <v>2029</v>
      </c>
      <c r="E34" t="inlineStr">
        <is>
          <t>wangpy@lamda.nju.edu.cn</t>
        </is>
      </c>
      <c r="F34" t="inlineStr">
        <is>
          <t>http://www.lamda.nju.edu.cn/wangpy/</t>
        </is>
      </c>
      <c r="G34" t="inlineStr">
        <is>
          <t xml:space="preserve">Currently I am a first-year Ph.D. student of School of Artificial Intelligence in Nanjing University and a member of LAMDA Group, led by professor Zhi-Hua Zhou. I received my B.Sc. degree from School </t>
        </is>
      </c>
      <c r="H34">
        <f>HYPERLINK("https://scholar.google.com/scholar?q=王鹏远+俞扬";"搜索 王鹏远")</f>
        <v/>
      </c>
      <c r="I34">
        <f>HYPERLINK("https://www.semanticscholar.org/search?q=王鹏远%20Nanjing";"搜索 王鹏远")</f>
        <v/>
      </c>
      <c r="J34" t="inlineStr"/>
      <c r="K34" t="inlineStr"/>
      <c r="L34" t="inlineStr"/>
      <c r="M34" t="inlineStr"/>
    </row>
    <row r="35">
      <c r="A35" t="inlineStr">
        <is>
          <t>李逸尘</t>
        </is>
      </c>
      <c r="B35" t="inlineStr">
        <is>
          <t>俞扬</t>
        </is>
      </c>
      <c r="C35" t="n">
        <v>2024</v>
      </c>
      <c r="D35" t="n">
        <v>2029</v>
      </c>
      <c r="E35" t="inlineStr">
        <is>
          <t>liyc@lamda.nju.edu.cn</t>
        </is>
      </c>
      <c r="F35" t="inlineStr">
        <is>
          <t>http://www.lamda.nju.edu.cn/liyc/</t>
        </is>
      </c>
      <c r="G35" t="inlineStr">
        <is>
          <t>Currently I am a Ph.D. student of School of Artificial Intelligence in Nanjing University, advised by Professor Yang Yu and Associate Professor Zongzhang Zhang. I am a member of LAMDA Group, led by pr</t>
        </is>
      </c>
      <c r="H35">
        <f>HYPERLINK("https://scholar.google.com/scholar?q=李逸尘+俞扬";"搜索 李逸尘")</f>
        <v/>
      </c>
      <c r="I35">
        <f>HYPERLINK("https://www.semanticscholar.org/search?q=李逸尘%20Nanjing";"搜索 李逸尘")</f>
        <v/>
      </c>
      <c r="J35" t="inlineStr"/>
      <c r="K35" t="inlineStr"/>
      <c r="L35" t="inlineStr"/>
      <c r="M35" t="inlineStr"/>
    </row>
    <row r="36">
      <c r="A36" t="inlineStr">
        <is>
          <t>陈政</t>
        </is>
      </c>
      <c r="B36" t="inlineStr">
        <is>
          <t>俞扬</t>
        </is>
      </c>
      <c r="C36" t="n">
        <v>2025</v>
      </c>
      <c r="D36" t="n">
        <v>2030</v>
      </c>
      <c r="E36" t="inlineStr">
        <is>
          <t>chenz@lamda.nju.edu.cn</t>
        </is>
      </c>
      <c r="F36" t="inlineStr">
        <is>
          <t>http://www.lamda.nju.edu.cn/chenz/</t>
        </is>
      </c>
      <c r="G36" t="inlineStr"/>
      <c r="H36">
        <f>HYPERLINK("https://scholar.google.com/scholar?q=陈政+俞扬";"搜索 陈政")</f>
        <v/>
      </c>
      <c r="I36">
        <f>HYPERLINK("https://www.semanticscholar.org/search?q=陈政%20Nanjing";"搜索 陈政")</f>
        <v/>
      </c>
      <c r="J36" t="inlineStr"/>
      <c r="K36" t="inlineStr"/>
      <c r="L36" t="inlineStr"/>
      <c r="M36" t="inlineStr"/>
    </row>
    <row r="37">
      <c r="A37" t="inlineStr">
        <is>
          <t>刘天硕</t>
        </is>
      </c>
      <c r="B37" t="inlineStr">
        <is>
          <t>俞扬</t>
        </is>
      </c>
      <c r="C37" t="n">
        <v>2025</v>
      </c>
      <c r="D37" t="n">
        <v>2030</v>
      </c>
      <c r="E37" t="inlineStr">
        <is>
          <t>liuts@lamda.nju.edu.cn</t>
        </is>
      </c>
      <c r="F37" t="inlineStr">
        <is>
          <t>http://www.lamda.nju.edu.cn/liuts/</t>
        </is>
      </c>
      <c r="G37" t="inlineStr">
        <is>
          <t>Sept. 2019 - Jun. 2023 : Receive my B.Sc. degree of Artificial Intelligence from Nanjing University; Sept. 2023 - Now : Admitted to study for a M.Sc. degree in Nanjing University without entrance exam</t>
        </is>
      </c>
      <c r="H37">
        <f>HYPERLINK("https://scholar.google.com/scholar?q=刘天硕+俞扬";"搜索 刘天硕")</f>
        <v/>
      </c>
      <c r="I37">
        <f>HYPERLINK("https://www.semanticscholar.org/search?q=刘天硕%20Nanjing";"搜索 刘天硕")</f>
        <v/>
      </c>
      <c r="J37" t="inlineStr"/>
      <c r="K37" t="inlineStr"/>
      <c r="L37" t="inlineStr"/>
      <c r="M37" t="inlineStr"/>
    </row>
    <row r="38">
      <c r="A38" t="inlineStr">
        <is>
          <t>叶志浩</t>
        </is>
      </c>
      <c r="B38" t="inlineStr">
        <is>
          <t>俞扬</t>
        </is>
      </c>
      <c r="C38" t="n">
        <v>2025</v>
      </c>
      <c r="D38" t="n">
        <v>2030</v>
      </c>
      <c r="E38" t="inlineStr">
        <is>
          <t>yezh@lamda.nju.edu.cn</t>
        </is>
      </c>
      <c r="F38" t="inlineStr">
        <is>
          <t>http://www.lamda.nju.edu.cn/yezh/</t>
        </is>
      </c>
      <c r="G38" t="inlineStr">
        <is>
          <t>Currently, I am a first year graduate student of School of Artificial Intelligence in Nanjing University and a member of LAMDA Group, which is led by professor Zhi-Hua Zhou. I received my B.Sc. degree</t>
        </is>
      </c>
      <c r="H38">
        <f>HYPERLINK("https://scholar.google.com/scholar?q=叶志浩+俞扬";"搜索 叶志浩")</f>
        <v/>
      </c>
      <c r="I38">
        <f>HYPERLINK("https://www.semanticscholar.org/search?q=叶志浩%20Nanjing";"搜索 叶志浩")</f>
        <v/>
      </c>
      <c r="J38" t="inlineStr"/>
      <c r="K38" t="inlineStr"/>
      <c r="L38" t="inlineStr"/>
      <c r="M38" t="inlineStr"/>
    </row>
    <row r="39">
      <c r="A39" t="inlineStr">
        <is>
          <t>张智龙</t>
        </is>
      </c>
      <c r="B39" t="inlineStr">
        <is>
          <t>俞扬</t>
        </is>
      </c>
      <c r="C39" t="n">
        <v>2025</v>
      </c>
      <c r="D39" t="n">
        <v>2030</v>
      </c>
      <c r="E39" t="inlineStr">
        <is>
          <t>zhangzl@lamda.nju.edu.cn</t>
        </is>
      </c>
      <c r="F39" t="inlineStr">
        <is>
          <t>http://www.lamda.nju.edu.cn/zhangzl/</t>
        </is>
      </c>
      <c r="G39" t="inlineStr">
        <is>
          <t xml:space="preserve">Currently I am a first-year Ph.D. student of School of Artificial Intelligence in Nanjing University and a member of LAMDA Group, led by professor Zhi-Hua Zhou. I received my B.Sc. degree in Computer </t>
        </is>
      </c>
      <c r="H39">
        <f>HYPERLINK("https://scholar.google.com/scholar?q=张智龙+俞扬";"搜索 张智龙")</f>
        <v/>
      </c>
      <c r="I39">
        <f>HYPERLINK("https://www.semanticscholar.org/search?q=张智龙%20Nanjing";"搜索 张智龙")</f>
        <v/>
      </c>
      <c r="J39" t="inlineStr"/>
      <c r="K39" t="inlineStr"/>
      <c r="L39" t="inlineStr"/>
      <c r="M39" t="inlineStr"/>
    </row>
    <row r="40">
      <c r="A40" t="inlineStr">
        <is>
          <t>范文殊</t>
        </is>
      </c>
      <c r="B40" t="inlineStr">
        <is>
          <t>詹德川</t>
        </is>
      </c>
      <c r="C40" t="n">
        <v>2021</v>
      </c>
      <c r="D40" t="n">
        <v>2026</v>
      </c>
      <c r="E40" t="inlineStr">
        <is>
          <t>dz1937001@smail.nju.edu.cn</t>
        </is>
      </c>
      <c r="F40" t="inlineStr">
        <is>
          <t>http://www.lamda.nju.edu.cn/fanws/</t>
        </is>
      </c>
      <c r="G40" t="inlineStr"/>
      <c r="H40">
        <f>HYPERLINK("https://scholar.google.com/scholar?q=范文殊+詹德川";"搜索 范文殊")</f>
        <v/>
      </c>
      <c r="I40">
        <f>HYPERLINK("https://www.semanticscholar.org/search?q=范文殊%20Nanjing";"搜索 范文殊")</f>
        <v/>
      </c>
      <c r="J40" t="inlineStr"/>
      <c r="K40" t="inlineStr"/>
      <c r="L40" t="inlineStr"/>
      <c r="M40" t="inlineStr"/>
    </row>
    <row r="41">
      <c r="A41" t="inlineStr">
        <is>
          <t>韩路</t>
        </is>
      </c>
      <c r="B41" t="inlineStr">
        <is>
          <t>詹德川</t>
        </is>
      </c>
      <c r="C41" t="n">
        <v>2022</v>
      </c>
      <c r="D41" t="n">
        <v>2027</v>
      </c>
      <c r="E41" t="inlineStr">
        <is>
          <t>hanlu@lamda.nju.edu.cn</t>
        </is>
      </c>
      <c r="F41" t="inlineStr">
        <is>
          <t>http://www.lamda.nju.edu.cn/hanlu/</t>
        </is>
      </c>
      <c r="G41" t="inlineStr">
        <is>
          <t>I received my B.Sc. degree from Wuhan University in June 2019. In the same year, I was admitted to study for a M.Sc. degree in Nanjing University without entrance examination. I received my M.Sc. degr</t>
        </is>
      </c>
      <c r="H41">
        <f>HYPERLINK("https://scholar.google.com/scholar?q=韩路+詹德川";"搜索 韩路")</f>
        <v/>
      </c>
      <c r="I41">
        <f>HYPERLINK("https://www.semanticscholar.org/search?q=韩路%20Nanjing";"搜索 韩路")</f>
        <v/>
      </c>
      <c r="J41" t="inlineStr"/>
      <c r="K41" t="inlineStr"/>
      <c r="L41" t="inlineStr"/>
      <c r="M41" t="inlineStr"/>
    </row>
    <row r="42">
      <c r="A42" t="inlineStr">
        <is>
          <t>李岚</t>
        </is>
      </c>
      <c r="B42" t="inlineStr">
        <is>
          <t>詹德川</t>
        </is>
      </c>
      <c r="C42" t="n">
        <v>2022</v>
      </c>
      <c r="D42" t="n">
        <v>2027</v>
      </c>
      <c r="E42" t="inlineStr"/>
      <c r="F42" t="inlineStr">
        <is>
          <t>http://www.lamda.nju.edu.cn/lil/</t>
        </is>
      </c>
      <c r="G42" t="inlineStr"/>
      <c r="H42">
        <f>HYPERLINK("https://scholar.google.com/scholar?q=李岚+詹德川";"搜索 李岚")</f>
        <v/>
      </c>
      <c r="I42">
        <f>HYPERLINK("https://www.semanticscholar.org/search?q=李岚%20Nanjing";"搜索 李岚")</f>
        <v/>
      </c>
      <c r="J42" t="inlineStr"/>
      <c r="K42" t="inlineStr"/>
      <c r="L42" t="inlineStr"/>
      <c r="M42" t="inlineStr"/>
    </row>
    <row r="43">
      <c r="A43" t="inlineStr">
        <is>
          <t>施意</t>
        </is>
      </c>
      <c r="B43" t="inlineStr">
        <is>
          <t>詹德川</t>
        </is>
      </c>
      <c r="C43" t="n">
        <v>2022</v>
      </c>
      <c r="D43" t="n">
        <v>2027</v>
      </c>
      <c r="E43" t="inlineStr"/>
      <c r="F43" t="inlineStr">
        <is>
          <t>http://www.lamda.nju.edu.cn/shiy/</t>
        </is>
      </c>
      <c r="G43" t="inlineStr">
        <is>
          <t xml:space="preserve">I received my B.Sc. degree from Nanjing University, China in June 2017. In 2019, I was admitted to study for a M.Sc. degree in Nanjing University and in the LAMDA Group led by professor Zhi-Hua Zhou, </t>
        </is>
      </c>
      <c r="H43">
        <f>HYPERLINK("https://scholar.google.com/scholar?q=施意+詹德川";"搜索 施意")</f>
        <v/>
      </c>
      <c r="I43">
        <f>HYPERLINK("https://www.semanticscholar.org/search?q=施意%20Nanjing";"搜索 施意")</f>
        <v/>
      </c>
      <c r="J43" t="inlineStr"/>
      <c r="K43" t="inlineStr"/>
      <c r="L43" t="inlineStr"/>
      <c r="M43" t="inlineStr"/>
    </row>
    <row r="44">
      <c r="A44" t="inlineStr">
        <is>
          <t>许逸初</t>
        </is>
      </c>
      <c r="B44" t="inlineStr">
        <is>
          <t>詹德川</t>
        </is>
      </c>
      <c r="C44" t="n">
        <v>2022</v>
      </c>
      <c r="D44" t="n">
        <v>2027</v>
      </c>
      <c r="E44" t="inlineStr"/>
      <c r="F44" t="inlineStr">
        <is>
          <t>http://www.lamda.nju.edu.cn/xuyc/</t>
        </is>
      </c>
      <c r="G44" t="inlineStr">
        <is>
          <t>I received my B.Sc. degree from Shandong University, in June 2020. In the same year, I was admitted to study for a Ph.D. degree in Nanjing University without entrance examination in the LAMDA Group le</t>
        </is>
      </c>
      <c r="H44">
        <f>HYPERLINK("https://scholar.google.com/scholar?q=许逸初+詹德川";"搜索 许逸初")</f>
        <v/>
      </c>
      <c r="I44">
        <f>HYPERLINK("https://www.semanticscholar.org/search?q=许逸初%20Nanjing";"搜索 许逸初")</f>
        <v/>
      </c>
      <c r="J44" t="inlineStr"/>
      <c r="K44" t="inlineStr"/>
      <c r="L44" t="inlineStr"/>
      <c r="M44" t="inlineStr"/>
    </row>
    <row r="45">
      <c r="A45" t="inlineStr">
        <is>
          <t>尹小龙</t>
        </is>
      </c>
      <c r="B45" t="inlineStr">
        <is>
          <t>詹德川</t>
        </is>
      </c>
      <c r="C45" t="n">
        <v>2022</v>
      </c>
      <c r="D45" t="n">
        <v>2027</v>
      </c>
      <c r="E45" t="inlineStr"/>
      <c r="F45" t="inlineStr">
        <is>
          <t>http://www.lamda.nju.edu.cn/yinxl/</t>
        </is>
      </c>
      <c r="G45" t="inlineStr">
        <is>
          <t>I received my B.Sc. degree from Shandong University, in June 2020. In the same year, I was admitted to study for a Ph.D. degree in Nanjing University without entrance examination in the LAMDA Group le</t>
        </is>
      </c>
      <c r="H45">
        <f>HYPERLINK("https://scholar.google.com/scholar?q=尹小龙+詹德川";"搜索 尹小龙")</f>
        <v/>
      </c>
      <c r="I45">
        <f>HYPERLINK("https://www.semanticscholar.org/search?q=尹小龙%20Nanjing";"搜索 尹小龙")</f>
        <v/>
      </c>
      <c r="J45" t="inlineStr"/>
      <c r="K45" t="inlineStr"/>
      <c r="L45" t="inlineStr"/>
      <c r="M45" t="inlineStr"/>
    </row>
    <row r="46">
      <c r="A46" t="inlineStr">
        <is>
          <t>陈如莹</t>
        </is>
      </c>
      <c r="B46" t="inlineStr">
        <is>
          <t>詹德川</t>
        </is>
      </c>
      <c r="C46" t="n">
        <v>2023</v>
      </c>
      <c r="D46" t="n">
        <v>2028</v>
      </c>
      <c r="E46" t="inlineStr"/>
      <c r="F46" t="inlineStr">
        <is>
          <t>http://www.lamda.nju.edu.cn/chenry/</t>
        </is>
      </c>
      <c r="G46" t="inlineStr">
        <is>
          <t xml:space="preserve">B.Sc. degree in Computer Science, Rose-Hulman Institute of Technology, The United States, 2012-2016. M.Sc. degree in Computer Science, Indiana State University, The United States, 2017-2020. Research </t>
        </is>
      </c>
      <c r="H46">
        <f>HYPERLINK("https://scholar.google.com/scholar?q=陈如莹+詹德川";"搜索 陈如莹")</f>
        <v/>
      </c>
      <c r="I46">
        <f>HYPERLINK("https://www.semanticscholar.org/search?q=陈如莹%20Nanjing";"搜索 陈如莹")</f>
        <v/>
      </c>
      <c r="J46" t="inlineStr"/>
      <c r="K46" t="inlineStr"/>
      <c r="L46" t="inlineStr"/>
      <c r="M46" t="inlineStr"/>
    </row>
    <row r="47">
      <c r="A47" t="inlineStr">
        <is>
          <t>蒋俊鹏</t>
        </is>
      </c>
      <c r="B47" t="inlineStr">
        <is>
          <t>詹德川</t>
        </is>
      </c>
      <c r="C47" t="n">
        <v>2023</v>
      </c>
      <c r="D47" t="n">
        <v>2028</v>
      </c>
      <c r="E47" t="inlineStr"/>
      <c r="F47" t="inlineStr">
        <is>
          <t>http://www.lamda.nju.edu.cn/jiangjp/</t>
        </is>
      </c>
      <c r="G47" t="inlineStr">
        <is>
          <t>I received my B.Sc. degree from Soochow University, in June 2021. In the same year, I was admitted to study for a Ph.D. degree in Nanjing University without entrance examination in the LAMDA Group led</t>
        </is>
      </c>
      <c r="H47">
        <f>HYPERLINK("https://scholar.google.com/scholar?q=蒋俊鹏+詹德川";"搜索 蒋俊鹏")</f>
        <v/>
      </c>
      <c r="I47">
        <f>HYPERLINK("https://www.semanticscholar.org/search?q=蒋俊鹏%20Nanjing";"搜索 蒋俊鹏")</f>
        <v/>
      </c>
      <c r="J47" t="inlineStr"/>
      <c r="K47" t="inlineStr"/>
      <c r="L47" t="inlineStr"/>
      <c r="M47" t="inlineStr"/>
    </row>
    <row r="48">
      <c r="A48" t="inlineStr">
        <is>
          <t>万盛华</t>
        </is>
      </c>
      <c r="B48" t="inlineStr">
        <is>
          <t>詹德川</t>
        </is>
      </c>
      <c r="C48" t="n">
        <v>2023</v>
      </c>
      <c r="D48" t="n">
        <v>2028</v>
      </c>
      <c r="E48" t="inlineStr"/>
      <c r="F48" t="inlineStr">
        <is>
          <t>http://www.lamda.nju.edu.cn/wansh/</t>
        </is>
      </c>
      <c r="G48" t="inlineStr">
        <is>
          <t>I received my B.Sc. degree of GIS from Nanjing University, in June 2021. In the same year, I was admitted to study for a Ph.D. degree in Nanjing University without entrance examination in the LAMDA Gr</t>
        </is>
      </c>
      <c r="H48">
        <f>HYPERLINK("https://scholar.google.com/scholar?q=万盛华+詹德川";"搜索 万盛华")</f>
        <v/>
      </c>
      <c r="I48">
        <f>HYPERLINK("https://www.semanticscholar.org/search?q=万盛华%20Nanjing";"搜索 万盛华")</f>
        <v/>
      </c>
      <c r="J48" t="inlineStr"/>
      <c r="K48" t="inlineStr"/>
      <c r="L48" t="inlineStr"/>
      <c r="M48" t="inlineStr"/>
    </row>
    <row r="49">
      <c r="A49" t="inlineStr">
        <is>
          <t>汪钰岑</t>
        </is>
      </c>
      <c r="B49" t="inlineStr">
        <is>
          <t>詹德川</t>
        </is>
      </c>
      <c r="C49" t="n">
        <v>2023</v>
      </c>
      <c r="D49" t="n">
        <v>2028</v>
      </c>
      <c r="E49" t="inlineStr">
        <is>
          <t>wangyc@lamda.nju.edu.cn</t>
        </is>
      </c>
      <c r="F49" t="inlineStr">
        <is>
          <t>http://www.lamda.nju.edu.cn/wangyc/</t>
        </is>
      </c>
      <c r="G49" t="inlineStr">
        <is>
          <t>Sept. 2023 - Present : Ph.D. student in Computer Science and Technology, School of Artificial Intelligence, Nanjing University, under the supervision of Prof. De-Chuan Zhan. Sept. 2020 - Jun. 2023 : M</t>
        </is>
      </c>
      <c r="H49">
        <f>HYPERLINK("https://scholar.google.com/scholar?q=汪钰岑+詹德川";"搜索 汪钰岑")</f>
        <v/>
      </c>
      <c r="I49">
        <f>HYPERLINK("https://www.semanticscholar.org/search?q=汪钰岑%20Nanjing";"搜索 汪钰岑")</f>
        <v/>
      </c>
      <c r="J49" t="inlineStr"/>
      <c r="K49" t="inlineStr"/>
      <c r="L49" t="inlineStr"/>
      <c r="M49" t="inlineStr"/>
    </row>
    <row r="50">
      <c r="A50" t="inlineStr">
        <is>
          <t>张逸凯</t>
        </is>
      </c>
      <c r="B50" t="inlineStr">
        <is>
          <t>詹德川</t>
        </is>
      </c>
      <c r="C50" t="n">
        <v>2023</v>
      </c>
      <c r="D50" t="n">
        <v>2028</v>
      </c>
      <c r="E50" t="inlineStr"/>
      <c r="F50" t="inlineStr">
        <is>
          <t>http://www.lamda.nju.edu.cn/zhangyk/</t>
        </is>
      </c>
      <c r="G50" t="inlineStr"/>
      <c r="H50">
        <f>HYPERLINK("https://scholar.google.com/scholar?q=张逸凯+詹德川";"搜索 张逸凯")</f>
        <v/>
      </c>
      <c r="I50">
        <f>HYPERLINK("https://www.semanticscholar.org/search?q=张逸凯%20Nanjing";"搜索 张逸凯")</f>
        <v/>
      </c>
      <c r="J50" t="inlineStr"/>
      <c r="K50" t="inlineStr"/>
      <c r="L50" t="inlineStr"/>
      <c r="M50" t="inlineStr"/>
    </row>
    <row r="51">
      <c r="A51" t="inlineStr">
        <is>
          <t>郑博文</t>
        </is>
      </c>
      <c r="B51" t="inlineStr">
        <is>
          <t>詹德川</t>
        </is>
      </c>
      <c r="C51" t="n">
        <v>2023</v>
      </c>
      <c r="D51" t="n">
        <v>2028</v>
      </c>
      <c r="E51" t="inlineStr">
        <is>
          <t>zhengbw@lamda.nju.edu.cn</t>
        </is>
      </c>
      <c r="F51" t="inlineStr">
        <is>
          <t>http://www.lamda.nju.edu.cn/zhengbw/</t>
        </is>
      </c>
      <c r="G51" t="inlineStr"/>
      <c r="H51">
        <f>HYPERLINK("https://scholar.google.com/scholar?q=郑博文+詹德川";"搜索 郑博文")</f>
        <v/>
      </c>
      <c r="I51">
        <f>HYPERLINK("https://www.semanticscholar.org/search?q=郑博文%20Nanjing";"搜索 郑博文")</f>
        <v/>
      </c>
      <c r="J51" t="inlineStr"/>
      <c r="K51" t="inlineStr"/>
      <c r="L51" t="inlineStr"/>
      <c r="M51" t="inlineStr"/>
    </row>
    <row r="52">
      <c r="A52" t="inlineStr">
        <is>
          <t>张韶威</t>
        </is>
      </c>
      <c r="B52" t="inlineStr">
        <is>
          <t>詹德川</t>
        </is>
      </c>
      <c r="C52" t="n">
        <v>2024</v>
      </c>
      <c r="D52" t="n">
        <v>2029</v>
      </c>
      <c r="E52" t="inlineStr">
        <is>
          <t>zhangsw@lamda.nju.edu.cn</t>
        </is>
      </c>
      <c r="F52" t="inlineStr">
        <is>
          <t>http://www.lamda.nju.edu.cn/zhangsw/</t>
        </is>
      </c>
      <c r="G52" t="inlineStr">
        <is>
          <t>I am a second year Ph.D. student of School of Artificial Intelligence in Nanjing University and a member of LAMDA Group, which is led by professor Zhi-Hua Zhou. I received my B.Sc. degree from Softwar</t>
        </is>
      </c>
      <c r="H52">
        <f>HYPERLINK("https://scholar.google.com/scholar?q=张韶威+詹德川";"搜索 张韶威")</f>
        <v/>
      </c>
      <c r="I52">
        <f>HYPERLINK("https://www.semanticscholar.org/search?q=张韶威%20Nanjing";"搜索 张韶威")</f>
        <v/>
      </c>
      <c r="J52" t="inlineStr"/>
      <c r="K52" t="inlineStr"/>
      <c r="L52" t="inlineStr"/>
      <c r="M52" t="inlineStr"/>
    </row>
    <row r="53">
      <c r="A53" t="inlineStr">
        <is>
          <t>陈之锴</t>
        </is>
      </c>
      <c r="B53" t="inlineStr">
        <is>
          <t>詹德川</t>
        </is>
      </c>
      <c r="C53" t="n">
        <v>2024</v>
      </c>
      <c r="D53" t="n">
        <v>2029</v>
      </c>
      <c r="E53" t="inlineStr"/>
      <c r="F53" t="inlineStr">
        <is>
          <t>http://www.lamda.nju.edu.cn/chenzk/</t>
        </is>
      </c>
      <c r="G53" t="inlineStr">
        <is>
          <t xml:space="preserve">I am a first-year PhD student of Department of Artificial Intelligence in Nanjing University and a member of LAMDA Group led by professor Zhi-Hua Zhou, under the supervision of Prof. De-Chuan Zhan. I </t>
        </is>
      </c>
      <c r="H53">
        <f>HYPERLINK("https://scholar.google.com/scholar?q=陈之锴+詹德川";"搜索 陈之锴")</f>
        <v/>
      </c>
      <c r="I53">
        <f>HYPERLINK("https://www.semanticscholar.org/search?q=陈之锴%20Nanjing";"搜索 陈之锴")</f>
        <v/>
      </c>
      <c r="J53" t="inlineStr"/>
      <c r="K53" t="inlineStr"/>
      <c r="L53" t="inlineStr"/>
      <c r="M53" t="inlineStr"/>
    </row>
    <row r="54">
      <c r="A54" t="inlineStr">
        <is>
          <t>宋一飞</t>
        </is>
      </c>
      <c r="B54" t="inlineStr">
        <is>
          <t>詹德川</t>
        </is>
      </c>
      <c r="C54" t="n">
        <v>2024</v>
      </c>
      <c r="D54" t="n">
        <v>2029</v>
      </c>
      <c r="E54" t="inlineStr">
        <is>
          <t>songyf@lamda.nju.edu.cn</t>
        </is>
      </c>
      <c r="F54" t="inlineStr">
        <is>
          <t>http://www.lamda.nju.edu.cn/songyf/</t>
        </is>
      </c>
      <c r="G54" t="inlineStr">
        <is>
          <t xml:space="preserve">Currently I am a first year PhD student of School of Artificial Intelligence in Nanjing University and a member of LAMDA Group(LAMDA Publications), led by professor Zhi-Hua Zhou . I received my B.Sc. </t>
        </is>
      </c>
      <c r="H54">
        <f>HYPERLINK("https://scholar.google.com/scholar?q=宋一飞+詹德川";"搜索 宋一飞")</f>
        <v/>
      </c>
      <c r="I54">
        <f>HYPERLINK("https://www.semanticscholar.org/search?q=宋一飞%20Nanjing";"搜索 宋一飞")</f>
        <v/>
      </c>
      <c r="J54" t="inlineStr"/>
      <c r="K54" t="inlineStr"/>
      <c r="L54" t="inlineStr"/>
      <c r="M54" t="inlineStr"/>
    </row>
    <row r="55">
      <c r="A55" t="inlineStr">
        <is>
          <t>商元义</t>
        </is>
      </c>
      <c r="B55" t="inlineStr">
        <is>
          <t>詹德川</t>
        </is>
      </c>
      <c r="C55" t="n">
        <v>2025</v>
      </c>
      <c r="D55" t="n">
        <v>2030</v>
      </c>
      <c r="E55" t="inlineStr">
        <is>
          <t>shangyy@lamda.nju.edu.cn</t>
        </is>
      </c>
      <c r="F55" t="inlineStr">
        <is>
          <t>http://www.lamda.nju.edu.cn/shangyy/</t>
        </is>
      </c>
      <c r="G55" t="inlineStr">
        <is>
          <t>Currently I am a first year graduate student of School of Artificial Intelligence in Nanjing University and a member of LAMDA Group ( LAMDA Publications ) , led by professor Zhi-Hua Zhou. Edit Researc</t>
        </is>
      </c>
      <c r="H55">
        <f>HYPERLINK("https://scholar.google.com/scholar?q=商元义+詹德川";"搜索 商元义")</f>
        <v/>
      </c>
      <c r="I55">
        <f>HYPERLINK("https://www.semanticscholar.org/search?q=商元义%20Nanjing";"搜索 商元义")</f>
        <v/>
      </c>
      <c r="J55" t="inlineStr"/>
      <c r="K55" t="inlineStr"/>
      <c r="L55" t="inlineStr"/>
      <c r="M55" t="inlineStr"/>
    </row>
    <row r="56">
      <c r="A56" t="inlineStr">
        <is>
          <t>武强</t>
        </is>
      </c>
      <c r="B56" t="inlineStr">
        <is>
          <t>詹德川</t>
        </is>
      </c>
      <c r="C56" t="n">
        <v>2025</v>
      </c>
      <c r="D56" t="n">
        <v>2030</v>
      </c>
      <c r="E56" t="inlineStr">
        <is>
          <t>wuq@lamda.nju.edu.cn</t>
        </is>
      </c>
      <c r="F56" t="inlineStr">
        <is>
          <t>http://www.lamda.nju.edu.cn/wuq/</t>
        </is>
      </c>
      <c r="G56" t="inlineStr">
        <is>
          <t xml:space="preserve">Currently, I am a first year Ph.D. student in the School of Artificial Intelligence at Nanjing University and a member of the LAMDA Group, led by Professor Zhi-Hua Zhou. After earning my B.Sc. in the </t>
        </is>
      </c>
      <c r="H56">
        <f>HYPERLINK("https://scholar.google.com/scholar?q=武强+詹德川";"搜索 武强")</f>
        <v/>
      </c>
      <c r="I56">
        <f>HYPERLINK("https://www.semanticscholar.org/search?q=武强%20Nanjing";"搜索 武强")</f>
        <v/>
      </c>
      <c r="J56" t="inlineStr"/>
      <c r="K56" t="inlineStr"/>
      <c r="L56" t="inlineStr"/>
      <c r="M56" t="inlineStr"/>
    </row>
    <row r="57">
      <c r="A57" t="inlineStr">
        <is>
          <t>廖沩健</t>
        </is>
      </c>
      <c r="B57" t="inlineStr">
        <is>
          <t>章宗长</t>
        </is>
      </c>
      <c r="C57" t="n">
        <v>2022</v>
      </c>
      <c r="D57" t="n">
        <v>2027</v>
      </c>
      <c r="E57" t="inlineStr">
        <is>
          <t>liaowj@lamda.nju.edu.cn</t>
        </is>
      </c>
      <c r="F57" t="inlineStr">
        <is>
          <t>http://www.lamda.nju.edu.cn/liaowj</t>
        </is>
      </c>
      <c r="G57" t="inlineStr">
        <is>
          <t xml:space="preserve">Currently I am a first year Ph.D. student of School of Artificial Intelligence in Nanjing University and a member of LAMDA Group, which is led by professor Zhi-Hua Zhou. I received my B.Sc. degree in </t>
        </is>
      </c>
      <c r="H57">
        <f>HYPERLINK("https://scholar.google.com/scholar?q=廖沩健+章宗长";"搜索 廖沩健")</f>
        <v/>
      </c>
      <c r="I57">
        <f>HYPERLINK("https://www.semanticscholar.org/search?q=廖沩健%20Nanjing";"搜索 廖沩健")</f>
        <v/>
      </c>
      <c r="J57" t="inlineStr"/>
      <c r="K57" t="inlineStr"/>
      <c r="L57" t="inlineStr"/>
      <c r="M57" t="inlineStr"/>
    </row>
    <row r="58">
      <c r="A58" t="inlineStr">
        <is>
          <t>吴晨阳</t>
        </is>
      </c>
      <c r="B58" t="inlineStr">
        <is>
          <t>章宗长</t>
        </is>
      </c>
      <c r="C58" t="n">
        <v>2023</v>
      </c>
      <c r="D58" t="n">
        <v>2028</v>
      </c>
      <c r="E58" t="inlineStr">
        <is>
          <t>wucy@lamda.nju.edu.cn</t>
        </is>
      </c>
      <c r="F58" t="inlineStr">
        <is>
          <t>http://www.lamda.nju.edu.cn/wucy</t>
        </is>
      </c>
      <c r="G58" t="inlineStr">
        <is>
          <t>I am currently a Ph.D. candidate at the School of Artificial Intelligence of Nanjing University. I'm privileged to be part of the esteemed LAMDA Group where I work under the insightful guidance of Ass</t>
        </is>
      </c>
      <c r="H58">
        <f>HYPERLINK("https://scholar.google.com/scholar?q=吴晨阳+章宗长";"搜索 吴晨阳")</f>
        <v/>
      </c>
      <c r="I58">
        <f>HYPERLINK("https://www.semanticscholar.org/search?q=吴晨阳%20Nanjing";"搜索 吴晨阳")</f>
        <v/>
      </c>
      <c r="J58" t="inlineStr"/>
      <c r="K58" t="inlineStr"/>
      <c r="L58" t="inlineStr"/>
      <c r="M58" t="inlineStr"/>
    </row>
    <row r="59">
      <c r="A59" t="inlineStr">
        <is>
          <t>薛迪</t>
        </is>
      </c>
      <c r="B59" t="inlineStr">
        <is>
          <t>章宗长</t>
        </is>
      </c>
      <c r="C59" t="n">
        <v>2023</v>
      </c>
      <c r="D59" t="n">
        <v>2028</v>
      </c>
      <c r="E59" t="inlineStr"/>
      <c r="F59" t="inlineStr">
        <is>
          <t>http://www.lamda.nju.edu.cn/xued</t>
        </is>
      </c>
      <c r="G59" t="inlineStr">
        <is>
          <t xml:space="preserve">Currently I am a M.Sc. student of School of Artificial Intelligence in Nanjing University and a member of LAMDA Group, which is led by professor Zhi-Hua Zhou. I received my B.Sc. degree in Automation </t>
        </is>
      </c>
      <c r="H59">
        <f>HYPERLINK("https://scholar.google.com/scholar?q=薛迪+章宗长";"搜索 薛迪")</f>
        <v/>
      </c>
      <c r="I59">
        <f>HYPERLINK("https://www.semanticscholar.org/search?q=薛迪%20Nanjing";"搜索 薛迪")</f>
        <v/>
      </c>
      <c r="J59" t="inlineStr"/>
      <c r="K59" t="inlineStr"/>
      <c r="L59" t="inlineStr"/>
      <c r="M59" t="inlineStr"/>
    </row>
    <row r="60">
      <c r="A60" t="inlineStr">
        <is>
          <t>王傲然</t>
        </is>
      </c>
      <c r="B60" t="inlineStr">
        <is>
          <t>章宗长</t>
        </is>
      </c>
      <c r="C60" t="n">
        <v>2024</v>
      </c>
      <c r="D60" t="n">
        <v>2029</v>
      </c>
      <c r="E60" t="inlineStr">
        <is>
          <t>wangar@lamda.nju.edu.cn</t>
        </is>
      </c>
      <c r="F60" t="inlineStr">
        <is>
          <t>http://www.lamda.nju.edu.cn/wangar/</t>
        </is>
      </c>
      <c r="G60" t="inlineStr">
        <is>
          <t>Currently, I am a Ph.D. student of School of Artificial Intelligence in Nanjing University and a member of LAMDA Group (LAMDA Publications), led by professor Zhi-Hua Zhou. I received my B.Sc. degree i</t>
        </is>
      </c>
      <c r="H60">
        <f>HYPERLINK("https://scholar.google.com/scholar?q=王傲然+章宗长";"搜索 王傲然")</f>
        <v/>
      </c>
      <c r="I60">
        <f>HYPERLINK("https://www.semanticscholar.org/search?q=王傲然%20Nanjing";"搜索 王傲然")</f>
        <v/>
      </c>
      <c r="J60" t="inlineStr"/>
      <c r="K60" t="inlineStr"/>
      <c r="L60" t="inlineStr"/>
      <c r="M60" t="inlineStr"/>
    </row>
    <row r="61">
      <c r="A61" t="inlineStr">
        <is>
          <t>江涛</t>
        </is>
      </c>
      <c r="B61" t="inlineStr">
        <is>
          <t>章宗长</t>
        </is>
      </c>
      <c r="C61" t="n">
        <v>2025</v>
      </c>
      <c r="D61" t="n">
        <v>2030</v>
      </c>
      <c r="E61" t="inlineStr">
        <is>
          <t>jiangt@lamda.nju.edu.cn</t>
        </is>
      </c>
      <c r="F61" t="inlineStr">
        <is>
          <t>http://www.lamda.nju.edu.cn/jiangt/</t>
        </is>
      </c>
      <c r="G61" t="inlineStr">
        <is>
          <t>Currently I am a graduate student of School of Artificial Intelligence in Nanjing University and a member of LAMDA Group, led by professor Zhi-Hua Zhou. I received my B.Sc. degree in School of Artific</t>
        </is>
      </c>
      <c r="H61">
        <f>HYPERLINK("https://scholar.google.com/scholar?q=江涛+章宗长";"搜索 江涛")</f>
        <v/>
      </c>
      <c r="I61">
        <f>HYPERLINK("https://www.semanticscholar.org/search?q=江涛%20Nanjing";"搜索 江涛")</f>
        <v/>
      </c>
      <c r="J61" t="inlineStr"/>
      <c r="K61" t="inlineStr"/>
      <c r="L61" t="inlineStr"/>
      <c r="M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2026-01-05T05:36:03Z</dcterms:created>
  <dcterms:modified xmlns:dcterms="http://purl.org/dc/terms/" xmlns:xsi="http://www.w3.org/2001/XMLSchema-instance" xsi:type="dcterms:W3CDTF">2026-01-05T05:36:03Z</dcterms:modified>
</cp:coreProperties>
</file>