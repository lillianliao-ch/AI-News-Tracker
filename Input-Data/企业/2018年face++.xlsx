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2460" windowHeight="15560" tabRatio="771"/>
  </bookViews>
  <sheets>
    <sheet name="INCUMBENT " sheetId="32" r:id="rId1"/>
    <sheet name="EXIT" sheetId="29" r:id="rId2"/>
    <sheet name="NEO " sheetId="33" r:id="rId3"/>
  </sheets>
  <externalReferences>
    <externalReference r:id="rId4"/>
    <externalReference r:id="rId5"/>
    <externalReference r:id="rId6"/>
  </externalReferences>
  <definedNames>
    <definedName name="_xlnm._FilterDatabase" localSheetId="1" hidden="1">EXIT!$A$2:$AS$303</definedName>
    <definedName name="_xlnm._FilterDatabase" localSheetId="0" hidden="1">'INCUMBENT '!$A$2:$O$438</definedName>
    <definedName name="_xlnm._FilterDatabase" localSheetId="2" hidden="1">'NEO '!$B$645:$G$664</definedName>
    <definedName name="EE_INPUT" localSheetId="0">#REF!,#REF!,#REF!,#REF!,#REF!,#REF!,#REF!,#REF!,#REF!,#REF!,#REF!,#REF!,#REF!,#REF!,#REF!,#REF!</definedName>
    <definedName name="INCUMBENT" localSheetId="2">#REF!,#REF!,#REF!,#REF!,#REF!,#REF!,#REF!,#REF!,#REF!,#REF!,#REF!,#REF!,#REF!,#REF!,#REF!,#REF!</definedName>
    <definedName name="INCUMBENT">#REF!,#REF!,#REF!,#REF!,#REF!,#REF!,#REF!,#REF!,#REF!,#REF!,#REF!,#REF!,#REF!,#REF!,#REF!,#REF!</definedName>
    <definedName name="_xlnm.Print_Area" localSheetId="0">'INCUMBENT '!$A$2:$F$48</definedName>
    <definedName name="_xlnm.Print_Area" localSheetId="2">'NEO '!$B$319:$G$344</definedName>
    <definedName name="模板" localSheetId="2">#REF!,#REF!,#REF!,#REF!,#REF!,#REF!,#REF!,#REF!,#REF!,#REF!,#REF!,#REF!,#REF!,#REF!,#REF!,#REF!</definedName>
    <definedName name="模板">#REF!,#REF!,#REF!,#REF!,#REF!,#REF!,#REF!,#REF!,#REF!,#REF!,#REF!,#REF!,#REF!,#REF!,#REF!,#REF!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I262" authorId="0">
      <text>
        <r>
          <rPr>
            <b/>
            <sz val="9"/>
            <rFont val="宋体"/>
            <charset val="134"/>
          </rPr>
          <t>作者:</t>
        </r>
        <r>
          <rPr>
            <sz val="9"/>
            <rFont val="宋体"/>
            <charset val="134"/>
          </rPr>
          <t xml:space="preserve">
发offer较早，劳动合同、试用期期限还未调整。</t>
        </r>
      </text>
    </comment>
    <comment ref="H285" authorId="0">
      <text>
        <r>
          <rPr>
            <b/>
            <sz val="9"/>
            <rFont val="宋体"/>
            <charset val="134"/>
          </rPr>
          <t>Shuyang Du:拿到离职证明后再签劳动合同</t>
        </r>
      </text>
    </comment>
  </commentList>
</comments>
</file>

<file path=xl/comments2.xml><?xml version="1.0" encoding="utf-8"?>
<comments xmlns="http://schemas.openxmlformats.org/spreadsheetml/2006/main">
  <authors>
    <author>作者</author>
  </authors>
  <commentList>
    <comment ref="J217" authorId="0">
      <text>
        <r>
          <rPr>
            <b/>
            <sz val="9"/>
            <rFont val="宋体"/>
            <charset val="134"/>
          </rPr>
          <t>作者:</t>
        </r>
        <r>
          <rPr>
            <sz val="9"/>
            <rFont val="宋体"/>
            <charset val="134"/>
          </rPr>
          <t xml:space="preserve">
有竞业，没签旷智。</t>
        </r>
      </text>
    </comment>
    <comment ref="AM245" authorId="0">
      <text>
        <r>
          <rPr>
            <b/>
            <sz val="9"/>
            <rFont val="宋体"/>
            <charset val="134"/>
          </rPr>
          <t>作者:</t>
        </r>
        <r>
          <rPr>
            <sz val="9"/>
            <rFont val="宋体"/>
            <charset val="134"/>
          </rPr>
          <t xml:space="preserve">
check下，是签的3年，还是3年1天</t>
        </r>
      </text>
    </comment>
    <comment ref="Q248" authorId="0">
      <text>
        <r>
          <rPr>
            <b/>
            <sz val="9"/>
            <rFont val="宋体"/>
            <charset val="134"/>
          </rPr>
          <t>作者:</t>
        </r>
        <r>
          <rPr>
            <sz val="9"/>
            <rFont val="宋体"/>
            <charset val="134"/>
          </rPr>
          <t xml:space="preserve">
为什么不能自动公式计算了？</t>
        </r>
      </text>
    </comment>
    <comment ref="AQ257" authorId="0">
      <text>
        <r>
          <rPr>
            <b/>
            <sz val="9"/>
            <rFont val="宋体"/>
            <charset val="134"/>
          </rPr>
          <t>作者:</t>
        </r>
        <r>
          <rPr>
            <sz val="9"/>
            <rFont val="宋体"/>
            <charset val="134"/>
          </rPr>
          <t xml:space="preserve">
档案没有劳动合同</t>
        </r>
      </text>
    </comment>
    <comment ref="AL264" authorId="0">
      <text>
        <r>
          <rPr>
            <b/>
            <sz val="9"/>
            <rFont val="宋体"/>
            <charset val="134"/>
          </rPr>
          <t>作者:</t>
        </r>
        <r>
          <rPr>
            <sz val="9"/>
            <rFont val="宋体"/>
            <charset val="134"/>
          </rPr>
          <t xml:space="preserve">
档案里为：2015.7.10-2016.7.9</t>
        </r>
      </text>
    </comment>
    <comment ref="AQ272" authorId="0">
      <text>
        <r>
          <rPr>
            <b/>
            <sz val="9"/>
            <rFont val="宋体"/>
            <charset val="134"/>
          </rPr>
          <t>作者:</t>
        </r>
        <r>
          <rPr>
            <sz val="9"/>
            <rFont val="宋体"/>
            <charset val="134"/>
          </rPr>
          <t xml:space="preserve">
档案没有劳动合同</t>
        </r>
      </text>
    </comment>
    <comment ref="AQ276" authorId="0">
      <text>
        <r>
          <rPr>
            <b/>
            <sz val="9"/>
            <rFont val="宋体"/>
            <charset val="134"/>
          </rPr>
          <t>作者:</t>
        </r>
        <r>
          <rPr>
            <sz val="9"/>
            <rFont val="宋体"/>
            <charset val="134"/>
          </rPr>
          <t xml:space="preserve">
档案没有劳动合同</t>
        </r>
      </text>
    </comment>
    <comment ref="AL282" authorId="0">
      <text>
        <r>
          <rPr>
            <b/>
            <sz val="9"/>
            <rFont val="宋体"/>
            <charset val="134"/>
          </rPr>
          <t>作者:</t>
        </r>
        <r>
          <rPr>
            <sz val="9"/>
            <rFont val="宋体"/>
            <charset val="134"/>
          </rPr>
          <t xml:space="preserve">
档案里为：2015.8.10-2016.8.9</t>
        </r>
      </text>
    </comment>
    <comment ref="J286" authorId="0">
      <text>
        <r>
          <rPr>
            <b/>
            <sz val="9"/>
            <rFont val="宋体"/>
            <charset val="134"/>
          </rPr>
          <t>作者:</t>
        </r>
        <r>
          <rPr>
            <sz val="9"/>
            <rFont val="宋体"/>
            <charset val="134"/>
          </rPr>
          <t xml:space="preserve">
因与原公司海鑫签有严格的竞业，暂签世纪云图。
</t>
        </r>
      </text>
    </comment>
    <comment ref="J287" authorId="0">
      <text>
        <r>
          <rPr>
            <b/>
            <sz val="9"/>
            <rFont val="宋体"/>
            <charset val="134"/>
          </rPr>
          <t>作者:</t>
        </r>
        <r>
          <rPr>
            <sz val="9"/>
            <rFont val="宋体"/>
            <charset val="134"/>
          </rPr>
          <t xml:space="preserve">
上家公司签有竞业。</t>
        </r>
      </text>
    </comment>
  </commentList>
</comments>
</file>

<file path=xl/sharedStrings.xml><?xml version="1.0" encoding="utf-8"?>
<sst xmlns="http://schemas.openxmlformats.org/spreadsheetml/2006/main" count="10971" uniqueCount="3610">
  <si>
    <t>职位信息</t>
  </si>
  <si>
    <t>联系方式</t>
  </si>
  <si>
    <t xml:space="preserve">序号                                                                                          </t>
  </si>
  <si>
    <t>姓名</t>
  </si>
  <si>
    <t>所在部门</t>
  </si>
  <si>
    <t>所在小组</t>
  </si>
  <si>
    <t>岗位名称</t>
  </si>
  <si>
    <t>工作地点</t>
  </si>
  <si>
    <t>手机号码</t>
  </si>
  <si>
    <t>合同起始日期</t>
  </si>
  <si>
    <t>合同截止日期</t>
  </si>
  <si>
    <t>合同续签提醒</t>
  </si>
  <si>
    <t>合同变更记录</t>
  </si>
  <si>
    <t>备注</t>
  </si>
  <si>
    <t>员工档案
扫描存档</t>
  </si>
  <si>
    <t>Recruiter</t>
  </si>
  <si>
    <t>入职当周提醒</t>
  </si>
  <si>
    <t>倪笑海</t>
  </si>
  <si>
    <t>研究院</t>
  </si>
  <si>
    <t>研究院-标注中心</t>
  </si>
  <si>
    <t>高级项目经理</t>
  </si>
  <si>
    <t>北京</t>
  </si>
  <si>
    <t>第一次合同期限：2014/3/1-2016/2/29</t>
  </si>
  <si>
    <t>是</t>
  </si>
  <si>
    <t>陈可卿</t>
  </si>
  <si>
    <t xml:space="preserve">云服务业务团队 </t>
  </si>
  <si>
    <t>云服务业务团队-产品部</t>
  </si>
  <si>
    <t>实习生</t>
  </si>
  <si>
    <t>范浩强</t>
  </si>
  <si>
    <t>研究院-Liveness</t>
  </si>
  <si>
    <t>学神</t>
  </si>
  <si>
    <t>贾开</t>
  </si>
  <si>
    <t>研究院-RSDE</t>
  </si>
  <si>
    <t>高级架构师</t>
  </si>
  <si>
    <t xml:space="preserve">4.10 短期内没有计划  </t>
  </si>
  <si>
    <t>LI BRIAN MICHAEL(李百恩)</t>
  </si>
  <si>
    <t>智能物联业务团队</t>
  </si>
  <si>
    <t>智能物联业务团队-SNG Coredev</t>
  </si>
  <si>
    <t>外籍身份，劳动关系2016.11.30以前一直挂靠在蚂蚁金服</t>
  </si>
  <si>
    <t xml:space="preserve">4.10 晚上沟通    </t>
  </si>
  <si>
    <t>曹志敏</t>
  </si>
  <si>
    <t>首席研究员</t>
  </si>
  <si>
    <t>2014.9.1起从旷视转到小孔，上次合同期限：2014/9/1-2016/8/31</t>
  </si>
  <si>
    <t>姜宇宁</t>
  </si>
  <si>
    <t>研究院-Detection</t>
  </si>
  <si>
    <t>高级研究员</t>
  </si>
  <si>
    <t>杨沐</t>
  </si>
  <si>
    <t>云服务业务团队-开发部-Face++开发组</t>
  </si>
  <si>
    <t>高级技术经理</t>
  </si>
  <si>
    <t>印奇</t>
  </si>
  <si>
    <t>CEO</t>
  </si>
  <si>
    <t>唐文斌</t>
  </si>
  <si>
    <t>平台产品业务团队</t>
  </si>
  <si>
    <t>CTO</t>
  </si>
  <si>
    <t>柳志贤</t>
  </si>
  <si>
    <t>云服务业务团队-开发部-FaceID开发组</t>
  </si>
  <si>
    <t>开发工程师II</t>
  </si>
  <si>
    <t>周而进</t>
  </si>
  <si>
    <t>研究院-Face Recognition</t>
  </si>
  <si>
    <t>研究组负责人</t>
  </si>
  <si>
    <t>田苗</t>
  </si>
  <si>
    <t>运营团队</t>
  </si>
  <si>
    <t>运营团队-人力资源部</t>
  </si>
  <si>
    <t>高级人事顾问</t>
  </si>
  <si>
    <t>温驭臣</t>
  </si>
  <si>
    <t>开发工程师I</t>
  </si>
  <si>
    <t>第一次合同期限：2014/1/2-2016/1/1</t>
  </si>
  <si>
    <t>高佳佳</t>
  </si>
  <si>
    <t>CEO特别助理</t>
  </si>
  <si>
    <t>CEO助理</t>
  </si>
  <si>
    <t>第一次合同期限：2014/5/1-2016/4/30</t>
  </si>
  <si>
    <t>任志伟</t>
  </si>
  <si>
    <t xml:space="preserve">市场销售团队 </t>
  </si>
  <si>
    <t>市场销售团队-互联网金融业务销售部</t>
  </si>
  <si>
    <t>销售总监</t>
  </si>
  <si>
    <t>2016/3/1从小孔转签旷视,第一次合同期限：2014/3/25-2016/3/24</t>
  </si>
  <si>
    <t>周昕宇</t>
  </si>
  <si>
    <t>胡仙雯（原鹔）</t>
  </si>
  <si>
    <t>市场销售团队</t>
  </si>
  <si>
    <t>市场销售团队-品牌与市场部</t>
  </si>
  <si>
    <t>设计师II</t>
  </si>
  <si>
    <t>2016/3/1从小孔转签旷视，第一次合同期限：2014/7/28-2016/7/31</t>
  </si>
  <si>
    <t>张英堂</t>
  </si>
  <si>
    <t>第一次合同期限：2014/8/4-2016/8/31</t>
  </si>
  <si>
    <t>何琦</t>
  </si>
  <si>
    <t>詹炳林</t>
  </si>
  <si>
    <t>智能物联业务团队-战略业务支持部</t>
  </si>
  <si>
    <t>技术支持工程师I</t>
  </si>
  <si>
    <t>第一次合同期限：2014/8/11-2016/8/31</t>
  </si>
  <si>
    <t>2017.3.22从平台产品业务-开发运维部 转岗至 智能物联业务-战略业务支持部</t>
  </si>
  <si>
    <t>周舒畅</t>
  </si>
  <si>
    <t>研究院-Attributes/Text</t>
  </si>
  <si>
    <t>第一次合同期限：2014/9/2-2016/9/30</t>
  </si>
  <si>
    <t>王健飞</t>
  </si>
  <si>
    <t>平台产品业务团队-Brain++平台开发组</t>
  </si>
  <si>
    <t xml:space="preserve">4.23 目前不看  挂了   </t>
  </si>
  <si>
    <t>王胜</t>
  </si>
  <si>
    <t>技术支持工程师II</t>
  </si>
  <si>
    <t>2016/3/1从小孔转签旷视，第一次合同期限：2014/9/22-2016/9/30</t>
  </si>
  <si>
    <t>2016.10.24转岗 由SSN-安防业务产品部-BD Windows工程师 转为 SSN-安防业务产品部-Dev 软件工程师
2017.4.1转岗  由智能物联业务-安防业务产品部 转为 智能物联业务-战略业务支持部</t>
  </si>
  <si>
    <t>张先香</t>
  </si>
  <si>
    <t>运营团队-行政部</t>
  </si>
  <si>
    <t>保洁</t>
  </si>
  <si>
    <t>第一次合同期限：2014/11/1-2015/10/31</t>
  </si>
  <si>
    <t>阿姨不用</t>
  </si>
  <si>
    <t>杜宇飞</t>
  </si>
  <si>
    <t>智能物联业务团队-智能楼宇业务产品部</t>
  </si>
  <si>
    <t>高级开发工程师</t>
  </si>
  <si>
    <t>2016-5-1转到pd</t>
  </si>
  <si>
    <t xml:space="preserve">4.23 开会 在忙   </t>
  </si>
  <si>
    <t>魏铭</t>
  </si>
  <si>
    <t>俞刚</t>
  </si>
  <si>
    <t>第一次合同期限：2014/12/3-2016/12/2</t>
  </si>
  <si>
    <t>廖奔</t>
  </si>
  <si>
    <t>云服务业务团队-质量部</t>
  </si>
  <si>
    <t>测试工程师I</t>
  </si>
  <si>
    <t>第一次劳动合同：2014.12.22-2016.12.31</t>
  </si>
  <si>
    <t>吴家楠</t>
  </si>
  <si>
    <t>研究院-Video</t>
  </si>
  <si>
    <t>研究员</t>
  </si>
  <si>
    <t>2015年3月硕士毕业，签订劳动合同。</t>
  </si>
  <si>
    <t>谢忆楠</t>
  </si>
  <si>
    <t>市场总监</t>
  </si>
  <si>
    <t>2016-3-1从小孔转签旷视</t>
  </si>
  <si>
    <t>赵礼杰</t>
  </si>
  <si>
    <t>平台产品业务团队-知识产权部</t>
  </si>
  <si>
    <t>法务经理</t>
  </si>
  <si>
    <t>袁琳</t>
  </si>
  <si>
    <t>第一次劳动合同：2015.1.12-2017.1.11</t>
  </si>
  <si>
    <t>罗铮</t>
  </si>
  <si>
    <t>智能物联业务团队-安防业务开发部</t>
  </si>
  <si>
    <t>刘金胜</t>
  </si>
  <si>
    <t xml:space="preserve">平台产品业务团队 </t>
  </si>
  <si>
    <t>平台产品业务团队-硬件部</t>
  </si>
  <si>
    <t>技术总监</t>
  </si>
  <si>
    <t>马原</t>
  </si>
  <si>
    <t>项目总监</t>
  </si>
  <si>
    <t>无锡</t>
  </si>
  <si>
    <t>2015年12月1日由旷安科技转至旷视科技</t>
  </si>
  <si>
    <t>董宏华</t>
  </si>
  <si>
    <t>HUB</t>
  </si>
  <si>
    <t>何奇正</t>
  </si>
  <si>
    <t>马沁</t>
  </si>
  <si>
    <t>运营总监</t>
  </si>
  <si>
    <t>王浩龙</t>
  </si>
  <si>
    <t>智能物联业务团队-技术服务支持部</t>
  </si>
  <si>
    <t>2016-3-1从小孔转签旷视
第一次合同期限：2015.3.23-2020.3.23</t>
  </si>
  <si>
    <t>许欣然</t>
  </si>
  <si>
    <t xml:space="preserve">4.11 已关机  </t>
  </si>
  <si>
    <t>毛智睿</t>
  </si>
  <si>
    <t>2015年12月1日由旷安科技转至旷视科技 第一次劳动合同：2015.3.24-2017.3.23。2017年5月1日转岗</t>
  </si>
  <si>
    <t xml:space="preserve">4.11 年初刚走在好未来带项目，目前7.8个，做工程，人还算不错，帮我问问身边的人   自己是一个朋友在这边推荐过来的     </t>
  </si>
  <si>
    <t>朱磊</t>
  </si>
  <si>
    <t>技术支持助理工程师</t>
  </si>
  <si>
    <t>2016年7月1日开始，由世纪云图转移到旷视
第一次劳动合同：2016.3.24-2016.6.30</t>
  </si>
  <si>
    <t>张宇翔</t>
  </si>
  <si>
    <t>2016-5-1转为全职实习生</t>
  </si>
  <si>
    <t>沙烨锋</t>
  </si>
  <si>
    <t>第一次劳动合同：2015.3.30-2017.3.29</t>
  </si>
  <si>
    <t>叶赛尔</t>
  </si>
  <si>
    <t>张弛</t>
  </si>
  <si>
    <t>第一次劳动合同：2015.3.31-2017.3.30</t>
  </si>
  <si>
    <t>洪邦</t>
  </si>
  <si>
    <t>第一次劳动合同：2015.4.13-2017.4.12</t>
  </si>
  <si>
    <t xml:space="preserve">4.10 晚上再交流，目前开会     </t>
  </si>
  <si>
    <t>郑灵芝</t>
  </si>
  <si>
    <t>运营团队-供应链管理部</t>
  </si>
  <si>
    <t>采购专员</t>
  </si>
  <si>
    <t>2016.11.1转岗 由Operation-行政部 前台转为Operation-Supply Chain Management 采购专员</t>
  </si>
  <si>
    <t>姚聪</t>
  </si>
  <si>
    <t>云服务业务团队-算法组</t>
  </si>
  <si>
    <t>150416劳务合同，等学校处理完通知公司,预计2016.6
160801改为劳动合同</t>
  </si>
  <si>
    <t xml:space="preserve">4.11 ocr识别系统，深度学习 包括金融应用场景都涉及     目前没打算    保持联系  </t>
  </si>
  <si>
    <t>张鑫</t>
  </si>
  <si>
    <t>高级市场顾问</t>
  </si>
  <si>
    <t>150601入职，离职证明重合，从0602开始签合同</t>
  </si>
  <si>
    <t>姬冰芳</t>
  </si>
  <si>
    <t>孙雯</t>
  </si>
  <si>
    <t>高级销售经理</t>
  </si>
  <si>
    <t>林园园</t>
  </si>
  <si>
    <t>郑立杰</t>
  </si>
  <si>
    <t>测试工程师II</t>
  </si>
  <si>
    <t>张逸玮</t>
  </si>
  <si>
    <t>黄志翱</t>
  </si>
  <si>
    <t>2016.3转为全职实习生</t>
  </si>
  <si>
    <t>茅佳源</t>
  </si>
  <si>
    <t>杨弋</t>
  </si>
  <si>
    <t>2015年11月1日由小孔科技转至旷视科技，2017年3月10日由平台产品业务-基础架构部-Brain Engine组转岗至研究院</t>
  </si>
  <si>
    <t xml:space="preserve">4.11可以了解外部的机会，校招过来3年，1989年 偏应用研究  算法和工程都有涉及  第一次找工作   相对简单，手机微信     </t>
  </si>
  <si>
    <t>杨强</t>
  </si>
  <si>
    <t>李一</t>
  </si>
  <si>
    <t>设计师I</t>
  </si>
  <si>
    <t>孙磊</t>
  </si>
  <si>
    <t>王邈</t>
  </si>
  <si>
    <t>平台产品业务团队-IT部</t>
  </si>
  <si>
    <t>宋晨</t>
  </si>
  <si>
    <t>市场销售团队-智能楼宇业务销售部</t>
  </si>
  <si>
    <t>唐学智</t>
  </si>
  <si>
    <t>何蔚然</t>
  </si>
  <si>
    <t>2015.12转为全职实习生</t>
  </si>
  <si>
    <t xml:space="preserve">4.11关机  </t>
  </si>
  <si>
    <t>刘少伟</t>
  </si>
  <si>
    <t xml:space="preserve">4.11 目前没有打算，比较着急    </t>
  </si>
  <si>
    <t>伞璐</t>
  </si>
  <si>
    <t>吴文昊</t>
  </si>
  <si>
    <t>云服务业务团队</t>
  </si>
  <si>
    <t>VP</t>
  </si>
  <si>
    <t>戴昕</t>
  </si>
  <si>
    <t>产品经理</t>
  </si>
  <si>
    <t>黄德纲</t>
  </si>
  <si>
    <t>冯宝库</t>
  </si>
  <si>
    <t>宋丹</t>
  </si>
  <si>
    <t>运营团队-校园关系部</t>
  </si>
  <si>
    <t>人事顾问</t>
  </si>
  <si>
    <t>邹颖</t>
  </si>
  <si>
    <t>云服务业务团队-解决方案部</t>
  </si>
  <si>
    <t>解决方案顾问</t>
  </si>
  <si>
    <t>姜宁</t>
  </si>
  <si>
    <t>市场销售团队-安防业务销售部</t>
  </si>
  <si>
    <t>销售经理II</t>
  </si>
  <si>
    <t>广州</t>
  </si>
  <si>
    <t>黄志伟</t>
  </si>
  <si>
    <t>15521000332</t>
  </si>
  <si>
    <t>罗闽生</t>
  </si>
  <si>
    <t>财务法务团队</t>
  </si>
  <si>
    <t>财务法务团队—财务部</t>
  </si>
  <si>
    <t>会计</t>
  </si>
  <si>
    <t>杭州</t>
  </si>
  <si>
    <t>15088613182</t>
  </si>
  <si>
    <t>李照楠</t>
  </si>
  <si>
    <t>薛龙</t>
  </si>
  <si>
    <t>2.26马原反馈，薛龙试用期延长2个月</t>
  </si>
  <si>
    <t>林乐</t>
  </si>
  <si>
    <t>王东亮</t>
  </si>
  <si>
    <t>助理工程师</t>
  </si>
  <si>
    <t>提前一个月转正</t>
  </si>
  <si>
    <t>何钦尧</t>
  </si>
  <si>
    <t>冯迭乔</t>
  </si>
  <si>
    <t>丁弼原</t>
  </si>
  <si>
    <t>工程师II</t>
  </si>
  <si>
    <t>敖翔</t>
  </si>
  <si>
    <t>产品总监</t>
  </si>
  <si>
    <t>刘建军</t>
  </si>
  <si>
    <t>公共业务团队</t>
  </si>
  <si>
    <t>公共业务团队-政府业务拓展部</t>
  </si>
  <si>
    <t>高级业务拓展经理</t>
  </si>
  <si>
    <t>2016.10.8转岗，由SSN-Security-BD 华北区销售总监转为 GD-KA 大客户总监</t>
  </si>
  <si>
    <t>陈小康</t>
  </si>
  <si>
    <t>技术支持总监</t>
  </si>
  <si>
    <t>解言斌</t>
  </si>
  <si>
    <t>李晓明</t>
  </si>
  <si>
    <t>智能物联业务团队-安防业务产品部</t>
  </si>
  <si>
    <t>高级产品经理</t>
  </si>
  <si>
    <t>郝玲玲</t>
  </si>
  <si>
    <t>彭雨翔</t>
  </si>
  <si>
    <t>2016.11.1转为全职实习生</t>
  </si>
  <si>
    <t>谭竣方</t>
  </si>
  <si>
    <t xml:space="preserve">4.13 学校专升本  1985年  在这快3年  调到KA组去了  目前是27k*14+20w期权   做go和c++，加个微信  整理简历  </t>
  </si>
  <si>
    <t>杨光</t>
  </si>
  <si>
    <t>李玉宝</t>
  </si>
  <si>
    <t>研究院-Label开发组</t>
  </si>
  <si>
    <t>陈斌</t>
  </si>
  <si>
    <t xml:space="preserve">没接    </t>
  </si>
  <si>
    <t>张辉</t>
  </si>
  <si>
    <t>温和</t>
  </si>
  <si>
    <t>2016.10.1转为全职实习</t>
  </si>
  <si>
    <t>王书涛</t>
  </si>
  <si>
    <t>2017.4.17由技术支持工程师II调整为开发工程师II</t>
  </si>
  <si>
    <t>雷迅</t>
  </si>
  <si>
    <t xml:space="preserve">4.10  脉脉上显示云计算工程师   </t>
  </si>
  <si>
    <t>肖特特</t>
  </si>
  <si>
    <t>2016.12.1转为全职实习生</t>
  </si>
  <si>
    <t>张小童</t>
  </si>
  <si>
    <t>运维工程师I</t>
  </si>
  <si>
    <t>入职未提供离职证明
2017.4.28转岗，由平台产品业务团队-运维部 转入平台产品业务团队-Brain++平台开发组</t>
  </si>
  <si>
    <t>张金通</t>
  </si>
  <si>
    <t>项目经理</t>
  </si>
  <si>
    <t>靳宇航</t>
  </si>
  <si>
    <t>2016-7-1从云图转签旷视</t>
  </si>
  <si>
    <t>郭天魁</t>
  </si>
  <si>
    <t>贺雯夕</t>
  </si>
  <si>
    <t>行政经理</t>
  </si>
  <si>
    <t>提前1个月转正</t>
  </si>
  <si>
    <t>范强</t>
  </si>
  <si>
    <t>2016-3-1应从小孔转签旷视，由于小孔社保未缴纳，暂缓办理</t>
  </si>
  <si>
    <t>入职未提供离职证明，2016.12.1 小孔转签旷视</t>
  </si>
  <si>
    <t>田爽</t>
  </si>
  <si>
    <t>市场顾问</t>
  </si>
  <si>
    <t>李浩然</t>
  </si>
  <si>
    <t>云服务业务团队-技术支持与运营部</t>
  </si>
  <si>
    <t>高级技术支持经理</t>
  </si>
  <si>
    <t>吕洪啸</t>
  </si>
  <si>
    <t>朱胜</t>
  </si>
  <si>
    <t>架构师</t>
  </si>
  <si>
    <t>2016-5-1从core-dev转入SSN-PD</t>
  </si>
  <si>
    <t>张硕</t>
  </si>
  <si>
    <t>肖琦琦</t>
  </si>
  <si>
    <t>助理研究员</t>
  </si>
  <si>
    <t>李瑞龙</t>
  </si>
  <si>
    <t>钟学波</t>
  </si>
  <si>
    <t>杨世伟</t>
  </si>
  <si>
    <t>陈立生</t>
  </si>
  <si>
    <t>吴可茵</t>
  </si>
  <si>
    <t>李乐</t>
  </si>
  <si>
    <t>2016.11.1转岗 由SSN-Commercial-TSS 技术支持工程师 转为SSN-安防业务产品部-Tech 软件工程师
2017.4.1转岗  由智能物联业务-安防业务产品部 转为 智能物联业务-战略业务支持部</t>
  </si>
  <si>
    <t>葛聪颖</t>
  </si>
  <si>
    <t>李建</t>
  </si>
  <si>
    <t>桑宁</t>
  </si>
  <si>
    <t>解决方案高级顾问</t>
  </si>
  <si>
    <t>西安</t>
  </si>
  <si>
    <t>孙伟</t>
  </si>
  <si>
    <t>2016.9.1转全职实习</t>
  </si>
  <si>
    <t>马征</t>
  </si>
  <si>
    <t>王梦迪</t>
  </si>
  <si>
    <t>OI训练营，培训时间至2015-7-31</t>
  </si>
  <si>
    <t>邹雨恒</t>
  </si>
  <si>
    <t>曾国洋</t>
  </si>
  <si>
    <t>何楠</t>
  </si>
  <si>
    <t>13468659249</t>
  </si>
  <si>
    <t>陈经纶</t>
  </si>
  <si>
    <t>助理开发工程师</t>
  </si>
  <si>
    <t>刘晋宇</t>
  </si>
  <si>
    <t>姜杭</t>
  </si>
  <si>
    <t>产品专员</t>
  </si>
  <si>
    <t>2016.9.5转岗 由SSN-Hardware 硬件产品经理 转为 SSN-安防业务产品部-PD 智能硬件产品经理</t>
  </si>
  <si>
    <t>廖思聪</t>
  </si>
  <si>
    <t>2016.7.1从云图转签旷视</t>
  </si>
  <si>
    <t>梁连</t>
  </si>
  <si>
    <t>于志泉</t>
  </si>
  <si>
    <t>运维工程师II</t>
  </si>
  <si>
    <t>郑韬</t>
  </si>
  <si>
    <t>王峰</t>
  </si>
  <si>
    <t>python开发工程师I</t>
  </si>
  <si>
    <t xml:space="preserve">让colin联系   </t>
  </si>
  <si>
    <t>梁嘉骏</t>
  </si>
  <si>
    <t>2016.7.1转为全职实习</t>
  </si>
  <si>
    <t>卢宏刚</t>
  </si>
  <si>
    <t>陈锡凯</t>
  </si>
  <si>
    <t>刘宇</t>
  </si>
  <si>
    <t>入职即为全职实习,17.1.12转为正式员工</t>
  </si>
  <si>
    <t xml:space="preserve">4.11 不看机会 蚂蚁和头条的都可以内推  还算好沟通   </t>
  </si>
  <si>
    <t>李铅</t>
  </si>
  <si>
    <t xml:space="preserve">4.10 不看机会    </t>
  </si>
  <si>
    <t>邢星</t>
  </si>
  <si>
    <t>郭玲玲</t>
  </si>
  <si>
    <t>王婷</t>
  </si>
  <si>
    <t>陈志威</t>
  </si>
  <si>
    <t>销售经理I</t>
  </si>
  <si>
    <t>上海</t>
  </si>
  <si>
    <t>彭超</t>
  </si>
  <si>
    <t>2016.11.1转全职</t>
  </si>
  <si>
    <t>陈剑华</t>
  </si>
  <si>
    <t>深圳</t>
  </si>
  <si>
    <t>第一次劳动合同：2016.4.25-2017.4.25（旷智）</t>
  </si>
  <si>
    <t>唐尧</t>
  </si>
  <si>
    <t>因个人原因，档案一直放在海淀人才，如果转出需开具第一家单位离职证明，现将档案存放在海淀人才旷视户上</t>
  </si>
  <si>
    <t>梁喆</t>
  </si>
  <si>
    <t>2016.11.1从SSN-Security-Dev转到Research-Face</t>
  </si>
  <si>
    <t>郑建君</t>
  </si>
  <si>
    <t>2017.3.9因组织结构调整，从智能物联业务-安防业务产品部调整到平台产品业务-硬件部，2017年5月1日转岗</t>
  </si>
  <si>
    <t>于鸿绪</t>
  </si>
  <si>
    <t>王娜</t>
  </si>
  <si>
    <t>运营经理</t>
  </si>
  <si>
    <t>侯丽丽</t>
  </si>
  <si>
    <t>刘泽亮</t>
  </si>
  <si>
    <t>武汉</t>
  </si>
  <si>
    <t>第一次劳动合同：2016.5.4-2017.5.4（旷智）</t>
  </si>
  <si>
    <t>刘家硕</t>
  </si>
  <si>
    <t>2016.8.1转为全职实习</t>
  </si>
  <si>
    <t>罗奎</t>
  </si>
  <si>
    <t>成都</t>
  </si>
  <si>
    <t>范网祥</t>
  </si>
  <si>
    <t>杨全</t>
  </si>
  <si>
    <t>姚皓天</t>
  </si>
  <si>
    <t>2016.11.1转为全职实习</t>
  </si>
  <si>
    <t>罗一星</t>
  </si>
  <si>
    <t>徐亮</t>
  </si>
  <si>
    <t>冯磊</t>
  </si>
  <si>
    <t>张倩倩</t>
  </si>
  <si>
    <t>马银河</t>
  </si>
  <si>
    <t>人事总监</t>
  </si>
  <si>
    <t>李海建</t>
  </si>
  <si>
    <t>财务法务团队—法务部</t>
  </si>
  <si>
    <t>彭嘉</t>
  </si>
  <si>
    <t>赖晓胜</t>
  </si>
  <si>
    <t>刘振宇</t>
  </si>
  <si>
    <t>孙以强</t>
  </si>
  <si>
    <t>郭玉香</t>
  </si>
  <si>
    <t>法务专员</t>
  </si>
  <si>
    <t>王昆</t>
  </si>
  <si>
    <t>杨学建</t>
  </si>
  <si>
    <t>张健</t>
  </si>
  <si>
    <t>刘文钢</t>
  </si>
  <si>
    <t>王刚</t>
  </si>
  <si>
    <t>白敬</t>
  </si>
  <si>
    <t>乔梁</t>
  </si>
  <si>
    <t>何杨一</t>
  </si>
  <si>
    <t>汤沛雯</t>
  </si>
  <si>
    <t>林礼首</t>
  </si>
  <si>
    <t>叶向宇</t>
  </si>
  <si>
    <t>解决方案总监</t>
  </si>
  <si>
    <t>薛宇飞</t>
  </si>
  <si>
    <t>研究院-Label产品组</t>
  </si>
  <si>
    <t>赵紫良</t>
  </si>
  <si>
    <t>市场专员</t>
  </si>
  <si>
    <t>余行江</t>
  </si>
  <si>
    <t>王志成</t>
  </si>
  <si>
    <t>袁行早</t>
  </si>
  <si>
    <t>张晨利</t>
  </si>
  <si>
    <t>方国良</t>
  </si>
  <si>
    <t>孙文琼</t>
  </si>
  <si>
    <t>李凌劼</t>
  </si>
  <si>
    <t>王顺</t>
  </si>
  <si>
    <t>主任架构师</t>
  </si>
  <si>
    <t>杜书洋</t>
  </si>
  <si>
    <t>人事专员</t>
  </si>
  <si>
    <t>刘宇轩</t>
  </si>
  <si>
    <t>2016.11.1转为全职实习，2017年3月25日转正。</t>
  </si>
  <si>
    <t>庄永文</t>
  </si>
  <si>
    <t>王禺淇</t>
  </si>
  <si>
    <t>2016.9.1转为全职实习</t>
  </si>
  <si>
    <t>兰石懿</t>
  </si>
  <si>
    <t xml:space="preserve">                                                                                                                                                                                                                                                                                                                                                                                                                                                                                                                                                                                                                                                                                                                                                                                                                                                                                                                                                                                                                                                                                                                                                                                                                                                                                                                                                                                                                                                                                                                                                                                                                                                                                                                                                                                                                                                                                                                                                                                                                                                                                                                                                                                                                                                                                                                                                                                                                                                                                                                                                                                                                                                                                                                                                                                                                                                                                                                                                                                                                                                                                                                                                                                                                                                                                                                                                                                                                                                                                                                                                                                                                                                                                                                                                                                                                                                                                                                                                                                                                                                                                                                                                                                                                                                                                                                                                                                                                                                                                                                                                                                                                                                                                                                                                                                                                                                                                                                                                                                                                                                                                                                                                                                                                                </t>
  </si>
  <si>
    <t>曹阳</t>
  </si>
  <si>
    <t>张江浩</t>
  </si>
  <si>
    <t>史桀绮</t>
  </si>
  <si>
    <t>顾嘉杨</t>
  </si>
  <si>
    <t>2017.3.1转为全职实习生</t>
  </si>
  <si>
    <t>周长智</t>
  </si>
  <si>
    <t>2016.11.1 小孔转签旷视</t>
  </si>
  <si>
    <t>郭嘉丞</t>
  </si>
  <si>
    <t>黎泽明</t>
  </si>
  <si>
    <t>莫宇尘</t>
  </si>
  <si>
    <t>研究院-Face Landmark</t>
  </si>
  <si>
    <t>汪彧之</t>
  </si>
  <si>
    <t>2016.11.1转全职实习</t>
  </si>
  <si>
    <t>何宜晖</t>
  </si>
  <si>
    <t>研究院-Basemodel</t>
  </si>
  <si>
    <t>入职即为全职实习生</t>
  </si>
  <si>
    <t>余方</t>
  </si>
  <si>
    <t>行政助理</t>
  </si>
  <si>
    <t>18516596355</t>
  </si>
  <si>
    <t>孙剑</t>
  </si>
  <si>
    <t>首席科学家</t>
  </si>
  <si>
    <t>张祥雨</t>
  </si>
  <si>
    <t>薛猛</t>
  </si>
  <si>
    <t>白蒙</t>
  </si>
  <si>
    <t>王燕涛</t>
  </si>
  <si>
    <t>蔡皓</t>
  </si>
  <si>
    <t>王晓龙</t>
  </si>
  <si>
    <t>白焱</t>
  </si>
  <si>
    <t>出纳</t>
  </si>
  <si>
    <t>王琪</t>
  </si>
  <si>
    <t>高级技术支持工程师</t>
  </si>
  <si>
    <t>胡宝群</t>
  </si>
  <si>
    <t>周骥</t>
  </si>
  <si>
    <t>姜文彬</t>
  </si>
  <si>
    <t>曹宇辉</t>
  </si>
  <si>
    <t>李楠</t>
  </si>
  <si>
    <t>项目专员</t>
  </si>
  <si>
    <t>刘定峰</t>
  </si>
  <si>
    <t>揣欣宇</t>
  </si>
  <si>
    <t>助理运维工程师</t>
  </si>
  <si>
    <t>孙建翔</t>
  </si>
  <si>
    <t>王登</t>
  </si>
  <si>
    <t>助理测试工程师</t>
  </si>
  <si>
    <t>张霖</t>
  </si>
  <si>
    <t>黄励新</t>
  </si>
  <si>
    <t>刘剑成</t>
  </si>
  <si>
    <t>张晨光</t>
  </si>
  <si>
    <t>智能物联业务团队-TPM</t>
  </si>
  <si>
    <t>柴雪</t>
  </si>
  <si>
    <t>白校铭</t>
  </si>
  <si>
    <t>付英波</t>
  </si>
  <si>
    <t>武海生</t>
  </si>
  <si>
    <t>黄泽强</t>
  </si>
  <si>
    <t>郑绍辉</t>
  </si>
  <si>
    <t>张露凡</t>
  </si>
  <si>
    <t>2017.5.1转为全职实习生</t>
  </si>
  <si>
    <t>陈昊楠</t>
  </si>
  <si>
    <t xml:space="preserve">研究院 </t>
  </si>
  <si>
    <t>姜博睿</t>
  </si>
  <si>
    <t>罗睿轩</t>
  </si>
  <si>
    <t>李子钰</t>
  </si>
  <si>
    <t>云服务业务团队-Face++运营部</t>
  </si>
  <si>
    <t>穆皓远</t>
  </si>
  <si>
    <t>洪鑫焰</t>
  </si>
  <si>
    <t>郑兆衡</t>
  </si>
  <si>
    <t>王曼晨</t>
  </si>
  <si>
    <t>刘松</t>
  </si>
  <si>
    <t>王靖易</t>
  </si>
  <si>
    <t>李悦</t>
  </si>
  <si>
    <t>成羽丰</t>
  </si>
  <si>
    <t>吴晨玮</t>
  </si>
  <si>
    <t>单若冰</t>
  </si>
  <si>
    <t>宋康婧</t>
  </si>
  <si>
    <t>吴侃</t>
  </si>
  <si>
    <t>宋婷婷</t>
  </si>
  <si>
    <t>公共业务团队-政府事务部</t>
  </si>
  <si>
    <t>高级政府关系顾问</t>
  </si>
  <si>
    <t>王存强</t>
  </si>
  <si>
    <t>陈逸伦</t>
  </si>
  <si>
    <t>曾平</t>
  </si>
  <si>
    <t>荆明轩</t>
  </si>
  <si>
    <t>杨雅琴</t>
  </si>
  <si>
    <t>研究院-TPM</t>
  </si>
  <si>
    <t>王生荟</t>
  </si>
  <si>
    <t>陈新</t>
  </si>
  <si>
    <t>林江涛</t>
  </si>
  <si>
    <t>褚洪缘</t>
  </si>
  <si>
    <t>马晓健</t>
  </si>
  <si>
    <t>唐康祺</t>
  </si>
  <si>
    <t>郑珍</t>
  </si>
  <si>
    <t>高级财务经理</t>
  </si>
  <si>
    <t>曹雯</t>
  </si>
  <si>
    <t>范若琛</t>
  </si>
  <si>
    <t>徐一立</t>
  </si>
  <si>
    <t>青岛</t>
  </si>
  <si>
    <t>谢新锋</t>
  </si>
  <si>
    <t>袁霞霞</t>
  </si>
  <si>
    <t>陈曦</t>
  </si>
  <si>
    <t>位二鹏</t>
  </si>
  <si>
    <t>测试开发工程师I</t>
  </si>
  <si>
    <t>刘伟</t>
  </si>
  <si>
    <t>测试开发工程师II</t>
  </si>
  <si>
    <t>周济远</t>
  </si>
  <si>
    <t>王璐</t>
  </si>
  <si>
    <t>彭力健</t>
  </si>
  <si>
    <t>赵航</t>
  </si>
  <si>
    <t>林媛媛</t>
  </si>
  <si>
    <t>财务顾问</t>
  </si>
  <si>
    <t>肖泰洪</t>
  </si>
  <si>
    <t>张华翼</t>
  </si>
  <si>
    <t>孟福刚</t>
  </si>
  <si>
    <t>供应链经理</t>
  </si>
  <si>
    <t>张颖</t>
  </si>
  <si>
    <t>项目助理</t>
  </si>
  <si>
    <t>徐子尧</t>
  </si>
  <si>
    <t>郭英策</t>
  </si>
  <si>
    <t>袁金宝</t>
  </si>
  <si>
    <t>公共业务团队-战略业务拓展部</t>
  </si>
  <si>
    <t>业务拓展经理II</t>
  </si>
  <si>
    <t>林孟潇</t>
  </si>
  <si>
    <t>郑钧丹</t>
  </si>
  <si>
    <t>陈雪松</t>
  </si>
  <si>
    <t>张宸</t>
  </si>
  <si>
    <t>转全职时间待可茵通知</t>
  </si>
  <si>
    <t>孙逸潇</t>
  </si>
  <si>
    <t>徐子扬</t>
  </si>
  <si>
    <t>赵倩</t>
  </si>
  <si>
    <t>梁潇</t>
  </si>
  <si>
    <t>工程组负责人</t>
  </si>
  <si>
    <t xml:space="preserve">4.13  没接    </t>
  </si>
  <si>
    <t>刘梦嘉</t>
  </si>
  <si>
    <t>何国勋</t>
  </si>
  <si>
    <t>韩修良</t>
  </si>
  <si>
    <t>市场销售团队-金融业务销售部</t>
  </si>
  <si>
    <t>靳艳</t>
  </si>
  <si>
    <t>公共业务团队-特种安防拓展部</t>
  </si>
  <si>
    <t>业务拓展总监</t>
  </si>
  <si>
    <t>徐燕北</t>
  </si>
  <si>
    <t>朱雨</t>
  </si>
  <si>
    <t>工程师I</t>
  </si>
  <si>
    <t>郭双城</t>
  </si>
  <si>
    <t>安洋</t>
  </si>
  <si>
    <t>智能物联业务团队-行业解决方案部</t>
  </si>
  <si>
    <t>万娜</t>
  </si>
  <si>
    <t>魏儒潜</t>
  </si>
  <si>
    <t>吴生坪</t>
  </si>
  <si>
    <t>齐雄</t>
  </si>
  <si>
    <t>邵帅</t>
  </si>
  <si>
    <t>石娟峰</t>
  </si>
  <si>
    <t>黄斌</t>
  </si>
  <si>
    <t>代启亮</t>
  </si>
  <si>
    <t>常昊男</t>
  </si>
  <si>
    <t>邹良川</t>
  </si>
  <si>
    <t>张英慧</t>
  </si>
  <si>
    <t>崔佳</t>
  </si>
  <si>
    <t>运营团队-ERP项目部</t>
  </si>
  <si>
    <t>黄嘉泰</t>
  </si>
  <si>
    <t>高匀丰</t>
  </si>
  <si>
    <t>胡玉微</t>
  </si>
  <si>
    <t>王静</t>
  </si>
  <si>
    <t>熊鹏飞</t>
  </si>
  <si>
    <t>李阳</t>
  </si>
  <si>
    <t>冯嘉汇</t>
  </si>
  <si>
    <t>叶珈宁</t>
  </si>
  <si>
    <t>梁浩</t>
  </si>
  <si>
    <t>石磊</t>
  </si>
  <si>
    <t>法务顾问</t>
  </si>
  <si>
    <t>赵建磊</t>
  </si>
  <si>
    <t>库存管理专员</t>
  </si>
  <si>
    <t>魏文渊</t>
  </si>
  <si>
    <t>谢兴宇</t>
  </si>
  <si>
    <t>叶芃</t>
  </si>
  <si>
    <t>谈笑迎</t>
  </si>
  <si>
    <t>袁伟强</t>
  </si>
  <si>
    <t>吴少杰</t>
  </si>
  <si>
    <t>李奇</t>
  </si>
  <si>
    <t>吴作凡</t>
  </si>
  <si>
    <t>李元超</t>
  </si>
  <si>
    <t>蓝静</t>
  </si>
  <si>
    <t>李波</t>
  </si>
  <si>
    <t>潘宇超</t>
  </si>
  <si>
    <t>石静</t>
  </si>
  <si>
    <t>孙亚昊</t>
  </si>
  <si>
    <t>李一杰</t>
  </si>
  <si>
    <t>吕振合</t>
  </si>
  <si>
    <t>刘磊</t>
  </si>
  <si>
    <t>张靖宇</t>
  </si>
  <si>
    <t>田长雨</t>
  </si>
  <si>
    <t>艾陆平</t>
  </si>
  <si>
    <t>沈丹丹</t>
  </si>
  <si>
    <t>王亮</t>
  </si>
  <si>
    <t>杨志</t>
  </si>
  <si>
    <t>甘霖</t>
  </si>
  <si>
    <t>王永吉</t>
  </si>
  <si>
    <t>肖健</t>
  </si>
  <si>
    <t>张博南</t>
  </si>
  <si>
    <t>张轩</t>
  </si>
  <si>
    <t>袁野</t>
  </si>
  <si>
    <t>邓志杰</t>
  </si>
  <si>
    <t>陈切切</t>
  </si>
  <si>
    <t>李天洋</t>
  </si>
  <si>
    <t>黄韬</t>
  </si>
  <si>
    <t>李享</t>
  </si>
  <si>
    <t>关磊</t>
  </si>
  <si>
    <t>杨云兴</t>
  </si>
  <si>
    <t>赵鹏宇</t>
  </si>
  <si>
    <t>杜航宇</t>
  </si>
  <si>
    <t xml:space="preserve">4.11 做人脸识别深度学习算法  比较好沟通  下半年再说   </t>
  </si>
  <si>
    <t>曾华</t>
  </si>
  <si>
    <t>首席商务官</t>
  </si>
  <si>
    <t>寿中侠</t>
  </si>
  <si>
    <t>唐阳</t>
  </si>
  <si>
    <t>刘亚刚</t>
  </si>
  <si>
    <t>李洋</t>
  </si>
  <si>
    <t>梁佶</t>
  </si>
  <si>
    <t>智能物联业务团队-安防业务质量部</t>
  </si>
  <si>
    <t>马里千</t>
  </si>
  <si>
    <t>研究院-LLCV</t>
  </si>
  <si>
    <t xml:space="preserve">关机    </t>
  </si>
  <si>
    <t>申岗</t>
  </si>
  <si>
    <t>张俊彬</t>
  </si>
  <si>
    <t xml:space="preserve">4.13 目前不看   </t>
  </si>
  <si>
    <t>罗华清</t>
  </si>
  <si>
    <t>李海阳</t>
  </si>
  <si>
    <t>运营专员</t>
  </si>
  <si>
    <t>罗克刚</t>
  </si>
  <si>
    <t>孙若愚</t>
  </si>
  <si>
    <t>张长胜</t>
  </si>
  <si>
    <t>张亚炜</t>
  </si>
  <si>
    <t>乌鲁木齐</t>
  </si>
  <si>
    <t>张京</t>
  </si>
  <si>
    <t>贾春光</t>
  </si>
  <si>
    <t>刘微微</t>
  </si>
  <si>
    <t>行政专员</t>
  </si>
  <si>
    <t>孙志玉</t>
  </si>
  <si>
    <t>Wang, Jue（王珏）</t>
  </si>
  <si>
    <t>研究院-西雅图Office</t>
  </si>
  <si>
    <t>US Research Lab Director</t>
  </si>
  <si>
    <t>西雅图，美国</t>
  </si>
  <si>
    <t>周长斌</t>
  </si>
  <si>
    <t>赵子健</t>
  </si>
  <si>
    <t>左文成</t>
  </si>
  <si>
    <t>张品</t>
  </si>
  <si>
    <t>罗浩</t>
  </si>
  <si>
    <t>杨阳</t>
  </si>
  <si>
    <t>胡浩</t>
  </si>
  <si>
    <t>黄怡菲</t>
  </si>
  <si>
    <t>李衍顺</t>
  </si>
  <si>
    <t>王亚东</t>
  </si>
  <si>
    <t>张卓</t>
  </si>
  <si>
    <t>王喆</t>
  </si>
  <si>
    <t>毛智海</t>
  </si>
  <si>
    <t>首席财务官</t>
  </si>
  <si>
    <t>王志华</t>
  </si>
  <si>
    <t>财务总监</t>
  </si>
  <si>
    <t>刘慈航</t>
  </si>
  <si>
    <t>刘馨阳</t>
  </si>
  <si>
    <t>饶永铭</t>
  </si>
  <si>
    <t>黄楠</t>
  </si>
  <si>
    <t>政府业务拓展总监</t>
  </si>
  <si>
    <t>颜廷先</t>
  </si>
  <si>
    <t>李娜</t>
  </si>
  <si>
    <t>李治</t>
  </si>
  <si>
    <t>张亮亮</t>
  </si>
  <si>
    <t>工程师</t>
  </si>
  <si>
    <t>李向宇</t>
  </si>
  <si>
    <t>技术支持工程师</t>
  </si>
  <si>
    <t>189 2883 8133</t>
  </si>
  <si>
    <t>刘江宇</t>
  </si>
  <si>
    <t>Researcher</t>
  </si>
  <si>
    <t>白雪</t>
  </si>
  <si>
    <t>Senior Research Scientist</t>
  </si>
  <si>
    <t>1-612-220-4734</t>
  </si>
  <si>
    <t>董沐</t>
  </si>
  <si>
    <t>荀鹤</t>
  </si>
  <si>
    <t xml:space="preserve">4.10  经验比较浅     </t>
  </si>
  <si>
    <t>杜兴逸</t>
  </si>
  <si>
    <t>王淑鹏</t>
  </si>
  <si>
    <t>魏彦博</t>
  </si>
  <si>
    <t>校园关系专员</t>
  </si>
  <si>
    <t>周素萍</t>
  </si>
  <si>
    <t>邵源</t>
  </si>
  <si>
    <t>楼虎彪</t>
  </si>
  <si>
    <t>全职实习生</t>
  </si>
  <si>
    <t>陈之恒</t>
  </si>
  <si>
    <t>黄坤</t>
  </si>
  <si>
    <t>王志强</t>
  </si>
  <si>
    <t>许皓</t>
  </si>
  <si>
    <t>TPM（技术项目经理）</t>
  </si>
  <si>
    <t>杜佳慧</t>
  </si>
  <si>
    <t>徐文博</t>
  </si>
  <si>
    <t>侯配权</t>
  </si>
  <si>
    <t>毕彤</t>
  </si>
  <si>
    <t>胡媛</t>
  </si>
  <si>
    <t>谢津</t>
  </si>
  <si>
    <t>陶智敏</t>
  </si>
  <si>
    <t>高级业务拓展总监</t>
  </si>
  <si>
    <t>范宏伟</t>
  </si>
  <si>
    <t>赫广宇</t>
  </si>
  <si>
    <t>刘兵</t>
  </si>
  <si>
    <t>IT运维工程师</t>
  </si>
  <si>
    <t>曹继邦</t>
  </si>
  <si>
    <t>王世诚</t>
  </si>
  <si>
    <t>杨泉</t>
  </si>
  <si>
    <t>李夏</t>
  </si>
  <si>
    <t>贺盼</t>
  </si>
  <si>
    <t>研究院-西雅图office</t>
  </si>
  <si>
    <t xml:space="preserve"> (+1) 352 215 7007</t>
  </si>
  <si>
    <t>宋洋</t>
  </si>
  <si>
    <t>马珂</t>
  </si>
  <si>
    <t>(+1)6318006339</t>
  </si>
  <si>
    <t>张辰</t>
  </si>
  <si>
    <t>离职信息</t>
  </si>
  <si>
    <t>个人基本资料</t>
  </si>
  <si>
    <t>招聘来源</t>
  </si>
  <si>
    <t>劳动关系信息</t>
  </si>
  <si>
    <t>序号</t>
  </si>
  <si>
    <t>离职日期</t>
  </si>
  <si>
    <t>离职类型</t>
  </si>
  <si>
    <t>离职原因</t>
  </si>
  <si>
    <t>离职原因归类</t>
  </si>
  <si>
    <t>签约公司</t>
  </si>
  <si>
    <t>入职日期</t>
  </si>
  <si>
    <t>司龄</t>
  </si>
  <si>
    <t>身份证号码</t>
  </si>
  <si>
    <t>性别</t>
  </si>
  <si>
    <t>出生日期</t>
  </si>
  <si>
    <t>年龄</t>
  </si>
  <si>
    <t>民族</t>
  </si>
  <si>
    <t>婚姻状况</t>
  </si>
  <si>
    <t>生育状况</t>
  </si>
  <si>
    <t>籍贯</t>
  </si>
  <si>
    <t>现户口所在地址</t>
  </si>
  <si>
    <t>户籍性质</t>
  </si>
  <si>
    <t>最高学历</t>
  </si>
  <si>
    <t>最高学历毕业院校</t>
  </si>
  <si>
    <t>最高学历专业</t>
  </si>
  <si>
    <t>毕业年月</t>
  </si>
  <si>
    <t>公司邮箱</t>
  </si>
  <si>
    <t>私人邮箱地址</t>
  </si>
  <si>
    <t>现居住地址</t>
  </si>
  <si>
    <t>紧急联系人</t>
  </si>
  <si>
    <t>与联系人关系</t>
  </si>
  <si>
    <t>联系人手机号码</t>
  </si>
  <si>
    <t>招聘渠道</t>
  </si>
  <si>
    <t>推荐人</t>
  </si>
  <si>
    <t>上一家雇主</t>
  </si>
  <si>
    <t>跟进提醒</t>
  </si>
  <si>
    <t>刘佳倩</t>
  </si>
  <si>
    <t>bonismliu@gmail.com</t>
  </si>
  <si>
    <t>杨哲</t>
  </si>
  <si>
    <t>yangzhe1990@gmail.com</t>
  </si>
  <si>
    <t>内推</t>
  </si>
  <si>
    <t>鲍海</t>
  </si>
  <si>
    <t>开发组</t>
  </si>
  <si>
    <t>UI设计师</t>
  </si>
  <si>
    <t>旷视科技</t>
  </si>
  <si>
    <t>0年0个月</t>
  </si>
  <si>
    <t>130722198705087452</t>
  </si>
  <si>
    <t>男</t>
  </si>
  <si>
    <t>5/8/1987</t>
  </si>
  <si>
    <t>汉族</t>
  </si>
  <si>
    <t>未婚</t>
  </si>
  <si>
    <t>城镇户口</t>
  </si>
  <si>
    <t>南开大学</t>
  </si>
  <si>
    <t>视觉传达</t>
  </si>
  <si>
    <t>本科</t>
  </si>
  <si>
    <t>baohai@megvii.com</t>
  </si>
  <si>
    <t>社招</t>
  </si>
  <si>
    <t>曹婷</t>
  </si>
  <si>
    <t>61040219891227080X</t>
  </si>
  <si>
    <t>女</t>
  </si>
  <si>
    <t>12/27/1989</t>
  </si>
  <si>
    <t>陕西青年职业学院</t>
  </si>
  <si>
    <t>多媒体设计与制作</t>
  </si>
  <si>
    <t>大专</t>
  </si>
  <si>
    <t>caoting@mefvii.com</t>
  </si>
  <si>
    <t>汪至诚</t>
  </si>
  <si>
    <t>TSG</t>
  </si>
  <si>
    <t>日结</t>
  </si>
  <si>
    <t>小孔科技</t>
  </si>
  <si>
    <t>330602199211240518</t>
  </si>
  <si>
    <t>11/24/1992</t>
  </si>
  <si>
    <t>软件学院</t>
  </si>
  <si>
    <t>计算机软件</t>
  </si>
  <si>
    <t>大三</t>
  </si>
  <si>
    <t>wzc@megvii.com</t>
  </si>
  <si>
    <t>北京市海淀区清华园1号软件学院</t>
  </si>
  <si>
    <t>金六六</t>
  </si>
  <si>
    <t>周以苏</t>
  </si>
  <si>
    <t>research组</t>
  </si>
  <si>
    <t>月结</t>
  </si>
  <si>
    <t>510107198706082615</t>
  </si>
  <si>
    <t>6/8/1987</t>
  </si>
  <si>
    <t>zys@megvii.com</t>
  </si>
  <si>
    <t>北京市海淀区清华园1号计算机科学与技术系</t>
  </si>
  <si>
    <t>吴晓阳</t>
  </si>
  <si>
    <t>0年8个月</t>
  </si>
  <si>
    <t>320525199201231535</t>
  </si>
  <si>
    <t>大四</t>
  </si>
  <si>
    <t>计算机科学与技术系</t>
  </si>
  <si>
    <t>计算机科学与技术</t>
  </si>
  <si>
    <t>江苏苏州吴江区松陵镇鲈乡苑</t>
  </si>
  <si>
    <t>吴克勤</t>
  </si>
  <si>
    <t>屈雨琼</t>
  </si>
  <si>
    <t>数据标注中心</t>
  </si>
  <si>
    <t>标注员</t>
  </si>
  <si>
    <t>42052119920312562X</t>
  </si>
  <si>
    <t>3/12/1992</t>
  </si>
  <si>
    <t>非城镇户口</t>
  </si>
  <si>
    <t>940962932@qq.com</t>
  </si>
  <si>
    <t>黄小芹</t>
  </si>
  <si>
    <t>340823199303146144</t>
  </si>
  <si>
    <t>3/14/1993</t>
  </si>
  <si>
    <t>835065267@qq.com</t>
  </si>
  <si>
    <t>蒋京京</t>
  </si>
  <si>
    <t>130535199101051120</t>
  </si>
  <si>
    <t>1/5/1991</t>
  </si>
  <si>
    <t>917329344@qq.com</t>
  </si>
  <si>
    <t>李宇骞</t>
  </si>
  <si>
    <t>CPG</t>
  </si>
  <si>
    <t>330127198907090015</t>
  </si>
  <si>
    <t>四年级</t>
  </si>
  <si>
    <t>杜克大学</t>
  </si>
  <si>
    <t>博士在读</t>
  </si>
  <si>
    <r>
      <rPr>
        <sz val="10"/>
        <rFont val="宋体"/>
        <charset val="134"/>
      </rPr>
      <t>l</t>
    </r>
    <r>
      <rPr>
        <sz val="10"/>
        <rFont val="宋体"/>
        <charset val="134"/>
      </rPr>
      <t>yq@megvii.com</t>
    </r>
  </si>
  <si>
    <t>杭州市三墩白马尊邸12-1-803</t>
  </si>
  <si>
    <t>薛原</t>
  </si>
  <si>
    <t>丁小尘</t>
  </si>
  <si>
    <t>胡君</t>
  </si>
  <si>
    <t>FACE++组</t>
  </si>
  <si>
    <t>设计师</t>
  </si>
  <si>
    <t>110102198908221912</t>
  </si>
  <si>
    <t>8/22/1989</t>
  </si>
  <si>
    <t>hujun@megvii.com</t>
  </si>
  <si>
    <t>宋宇航</t>
  </si>
  <si>
    <t>技术组</t>
  </si>
  <si>
    <t>syh@megvii.com</t>
  </si>
  <si>
    <t>陈立杰</t>
  </si>
  <si>
    <t>clj@megvii.com</t>
  </si>
  <si>
    <t>152628199412040215</t>
  </si>
  <si>
    <t>12/4/1994</t>
  </si>
  <si>
    <t>zhangzhuo@megvii.com</t>
  </si>
  <si>
    <t>孙骥</t>
  </si>
  <si>
    <t>Face++组</t>
  </si>
  <si>
    <t>110102199203292715</t>
  </si>
  <si>
    <t>3/29/1992</t>
  </si>
  <si>
    <t>sunji@megvii.com</t>
  </si>
  <si>
    <t>杨东</t>
  </si>
  <si>
    <t>核心技术组</t>
  </si>
  <si>
    <t>510923198505121730</t>
  </si>
  <si>
    <t>5/12/1985</t>
  </si>
  <si>
    <t>yangdong@megvii.com</t>
  </si>
  <si>
    <t>田野</t>
  </si>
  <si>
    <t>230403198610210110</t>
  </si>
  <si>
    <t>10/21/1986</t>
  </si>
  <si>
    <t>已婚</t>
  </si>
  <si>
    <t>tianye@megvii.com</t>
  </si>
  <si>
    <t>马静</t>
  </si>
  <si>
    <t>商务经理</t>
  </si>
  <si>
    <t>510722198910208808</t>
  </si>
  <si>
    <t>10/20/1989</t>
  </si>
  <si>
    <t>中山大学</t>
  </si>
  <si>
    <t>市场营销</t>
  </si>
  <si>
    <t>majing@megvii.com</t>
  </si>
  <si>
    <t>刘丹</t>
  </si>
  <si>
    <t>行政组</t>
  </si>
  <si>
    <t>231083199105096324</t>
  </si>
  <si>
    <t>5/9/1991</t>
  </si>
  <si>
    <t>liudan@megvii.com</t>
  </si>
  <si>
    <t>北京市朝阳区北京化工大学</t>
  </si>
  <si>
    <t>王晨遂</t>
  </si>
  <si>
    <t>产品组</t>
  </si>
  <si>
    <t>622301199301131348</t>
  </si>
  <si>
    <t>1/13/1993</t>
  </si>
  <si>
    <t>wcs@megvii.com</t>
  </si>
  <si>
    <t>新疆省库尔勒市新城南路新城办事处2-4-402</t>
  </si>
  <si>
    <t>马凤华</t>
  </si>
  <si>
    <t>王旋</t>
  </si>
  <si>
    <t>342622199006080622</t>
  </si>
  <si>
    <t>6/8/1990</t>
  </si>
  <si>
    <t>wangxuan@megvii.com</t>
  </si>
  <si>
    <t>安徽省合肥市庐江县经济技术开发区环城北路438号财务部</t>
  </si>
  <si>
    <t>孙业宏</t>
  </si>
  <si>
    <t>杜儒成</t>
  </si>
  <si>
    <t>513701199211020051</t>
  </si>
  <si>
    <t>11/2/1992</t>
  </si>
  <si>
    <t>drc@megvii.com</t>
  </si>
  <si>
    <t>四川省成都市成华区玉双路10号中国测试技术研究院</t>
  </si>
  <si>
    <t>杜洪斌</t>
  </si>
  <si>
    <t>赵一开</t>
  </si>
  <si>
    <t>331023199409254632</t>
  </si>
  <si>
    <t>9/25/1994</t>
  </si>
  <si>
    <t>zyk@megvii.com</t>
  </si>
  <si>
    <t>清华大学紫荆公寓2号楼</t>
  </si>
  <si>
    <t>张婷</t>
  </si>
  <si>
    <t>旷视，待补签</t>
  </si>
  <si>
    <t>110105199208019653</t>
  </si>
  <si>
    <t>8/1/1992</t>
  </si>
  <si>
    <t>xxr@megvii.com</t>
  </si>
  <si>
    <t>北京市朝阳区少角中街8号2-2-801</t>
  </si>
  <si>
    <t>杨华</t>
  </si>
  <si>
    <t>陈许旻</t>
  </si>
  <si>
    <t>510726199208260016</t>
  </si>
  <si>
    <t>8/26/1992</t>
  </si>
  <si>
    <t>cxm@megvii.com</t>
  </si>
  <si>
    <t>四川省北川羌族自治县卫生局</t>
  </si>
  <si>
    <t>许红</t>
  </si>
  <si>
    <t>钱桥</t>
  </si>
  <si>
    <t>120105199212295417</t>
  </si>
  <si>
    <t>12/29/1992</t>
  </si>
  <si>
    <t>qianqiao@megvii.com</t>
  </si>
  <si>
    <t>天津市河北区印江北里3号楼15单元</t>
  </si>
  <si>
    <t>钱江</t>
  </si>
  <si>
    <t>章放</t>
  </si>
  <si>
    <t>321322199209220313</t>
  </si>
  <si>
    <t>9/22/1992</t>
  </si>
  <si>
    <t>zhangfang@megvii.com</t>
  </si>
  <si>
    <t>清华大学紫荆公寓2号楼615A</t>
  </si>
  <si>
    <t>章超</t>
  </si>
  <si>
    <t>方凌锐</t>
  </si>
  <si>
    <t>340223199410140036</t>
  </si>
  <si>
    <t>10/14/1994</t>
  </si>
  <si>
    <t>flr@megvii.comk</t>
  </si>
  <si>
    <t>清华园1号计算机系</t>
  </si>
  <si>
    <t>刘啸宇</t>
  </si>
  <si>
    <t>342201199306190811</t>
  </si>
  <si>
    <t>6/19/1993</t>
  </si>
  <si>
    <t>lxy@megvii.com</t>
  </si>
  <si>
    <t>王东岳</t>
  </si>
  <si>
    <t>120105199403193317</t>
  </si>
  <si>
    <t>3/19/1994</t>
  </si>
  <si>
    <t>wdy@megvii.com</t>
  </si>
  <si>
    <t>清华大学紫荆公寓2号楼105A</t>
  </si>
  <si>
    <t>王润安</t>
  </si>
  <si>
    <t>李三科</t>
  </si>
  <si>
    <t>610431198609120317</t>
  </si>
  <si>
    <t>9/12/1986</t>
  </si>
  <si>
    <t>西安文理学院</t>
  </si>
  <si>
    <t>地理科学</t>
  </si>
  <si>
    <t>lsk@megvii.com</t>
  </si>
  <si>
    <t>郭秋卉</t>
  </si>
  <si>
    <t>运营助理</t>
  </si>
  <si>
    <t>610103199008111645</t>
  </si>
  <si>
    <t>8/11/1990</t>
  </si>
  <si>
    <t>西安交通大学</t>
  </si>
  <si>
    <t>法语</t>
  </si>
  <si>
    <t>gqh@megvii.com</t>
  </si>
  <si>
    <t>高洋</t>
  </si>
  <si>
    <t>架构工程师</t>
  </si>
  <si>
    <t>110223198605211079</t>
  </si>
  <si>
    <t>硕士</t>
  </si>
  <si>
    <t>中科院研究生院</t>
  </si>
  <si>
    <t>江林楠</t>
  </si>
  <si>
    <t>362334199304010078</t>
  </si>
  <si>
    <r>
      <rPr>
        <sz val="10"/>
        <rFont val="宋体"/>
        <charset val="134"/>
      </rPr>
      <t>j</t>
    </r>
    <r>
      <rPr>
        <sz val="10"/>
        <rFont val="宋体"/>
        <charset val="134"/>
      </rPr>
      <t>ln@megvii.com</t>
    </r>
  </si>
  <si>
    <t>清华大学紫荆学生公寓1号楼</t>
  </si>
  <si>
    <t>王永华</t>
  </si>
  <si>
    <t>任杰</t>
  </si>
  <si>
    <t>500384199304201331</t>
  </si>
  <si>
    <t>重庆市渝中区 邹容路131号世界贸易中心47楼</t>
  </si>
  <si>
    <t>黄霞</t>
  </si>
  <si>
    <t>王笑尘</t>
  </si>
  <si>
    <t>0年7个月</t>
  </si>
  <si>
    <t>22050319930816051X</t>
  </si>
  <si>
    <t>wxc@megvii.com</t>
  </si>
  <si>
    <t>清华园2号计算机系</t>
  </si>
  <si>
    <t>由桂芝</t>
  </si>
  <si>
    <t>何朴藩</t>
  </si>
  <si>
    <t>430111199305130312</t>
  </si>
  <si>
    <t>交叉信息研究院</t>
  </si>
  <si>
    <t>长沙市解放西路31号湖南省人民医院眼视光中心</t>
  </si>
  <si>
    <t>何书喜</t>
  </si>
  <si>
    <t>学分问题返校，未成功入职</t>
  </si>
  <si>
    <t>学业原因</t>
  </si>
  <si>
    <t>钟亚焘</t>
  </si>
  <si>
    <t>Research-ODIS</t>
  </si>
  <si>
    <t>510105199210221273</t>
  </si>
  <si>
    <t>汉</t>
  </si>
  <si>
    <t>未育</t>
  </si>
  <si>
    <t>四川成都</t>
  </si>
  <si>
    <t>成都市青羊区小关庙后街27号一栋三单元12号</t>
  </si>
  <si>
    <t>城镇</t>
  </si>
  <si>
    <t>大学本科</t>
  </si>
  <si>
    <t>中国科学技术大学</t>
  </si>
  <si>
    <t>电子工程与信息科学</t>
  </si>
  <si>
    <t>monster@mail.ustc.edu.cn</t>
  </si>
  <si>
    <t>邹红英</t>
  </si>
  <si>
    <t>母亲</t>
  </si>
  <si>
    <t>028-86918262</t>
  </si>
  <si>
    <t>被动离职</t>
  </si>
  <si>
    <t>试用期协商解除</t>
  </si>
  <si>
    <t>能力不足</t>
  </si>
  <si>
    <t>肖雷</t>
  </si>
  <si>
    <t>Smart Camera</t>
  </si>
  <si>
    <t>销售经理</t>
  </si>
  <si>
    <t>11022719820418241X</t>
  </si>
  <si>
    <t>北京市怀柔区渤海镇</t>
  </si>
  <si>
    <t>大学专科</t>
  </si>
  <si>
    <t>北京科技大学</t>
  </si>
  <si>
    <t>电子商务</t>
  </si>
  <si>
    <t>北京市朝阳区十里堡54号楼4-23</t>
  </si>
  <si>
    <t>吴梦</t>
  </si>
  <si>
    <t>主动离职</t>
  </si>
  <si>
    <t>学校课比较忙（提醒公司内部禁止恋爱）</t>
  </si>
  <si>
    <t>欧阳方昕</t>
  </si>
  <si>
    <t>Research-MegCycle</t>
  </si>
  <si>
    <t>431202199304260449</t>
  </si>
  <si>
    <t>清华大学</t>
  </si>
  <si>
    <t>oyfx@megvii.com</t>
  </si>
  <si>
    <t>清华园1号软件学院</t>
  </si>
  <si>
    <t>史萍</t>
  </si>
  <si>
    <t>内部推荐</t>
  </si>
  <si>
    <t>毕业去Hulu，来Megvii实习之前已签</t>
  </si>
  <si>
    <t>去别的公司</t>
  </si>
  <si>
    <t>尚泽远</t>
  </si>
  <si>
    <t>Research-Video</t>
  </si>
  <si>
    <t>14272319940130001X</t>
  </si>
  <si>
    <t>山西省运城市</t>
  </si>
  <si>
    <t>北京市海淀区</t>
  </si>
  <si>
    <t>zeyuanxy@gmail.com</t>
  </si>
  <si>
    <t>清华大学紫荆学生公寓2号楼</t>
  </si>
  <si>
    <t>尚卫东</t>
  </si>
  <si>
    <t>父亲</t>
  </si>
  <si>
    <t>钱天兵</t>
  </si>
  <si>
    <t>Label++</t>
  </si>
  <si>
    <t>前端工程师</t>
  </si>
  <si>
    <t>411503198711151711</t>
  </si>
  <si>
    <t>一胎</t>
  </si>
  <si>
    <t>河南信阳</t>
  </si>
  <si>
    <t>河南省信阳市平桥区</t>
  </si>
  <si>
    <t>非城镇</t>
  </si>
  <si>
    <t>黄淮学院</t>
  </si>
  <si>
    <t>软件工程</t>
  </si>
  <si>
    <t>407733614@qq.com</t>
  </si>
  <si>
    <t>曾培</t>
  </si>
  <si>
    <t>妻子</t>
  </si>
  <si>
    <t>招聘网站</t>
  </si>
  <si>
    <t>胡渊鸣</t>
  </si>
  <si>
    <t>Research-Face</t>
  </si>
  <si>
    <t>321001199411160010</t>
  </si>
  <si>
    <t>回族</t>
  </si>
  <si>
    <t>计算机科学</t>
  </si>
  <si>
    <t>iterator.advance@gmail.com</t>
  </si>
  <si>
    <t>清华大学紫荆学生公寓2号楼211A</t>
  </si>
  <si>
    <t>姜楠</t>
  </si>
  <si>
    <t>华艳丽</t>
  </si>
  <si>
    <t>Develop-TechSupport</t>
  </si>
  <si>
    <t>世纪云图</t>
  </si>
  <si>
    <t>230506199206220228</t>
  </si>
  <si>
    <t>黑龙江</t>
  </si>
  <si>
    <t>黑龙江省双鸭山市</t>
  </si>
  <si>
    <t>湖南大众传媒学院</t>
  </si>
  <si>
    <t>播音与主持</t>
  </si>
  <si>
    <t>601365888@qq.com</t>
  </si>
  <si>
    <t>黑龙江省双鸭山市东荣小区14号楼三单元502</t>
  </si>
  <si>
    <t>张风云</t>
  </si>
  <si>
    <t>社会招聘</t>
  </si>
  <si>
    <t>黄晓娜</t>
  </si>
  <si>
    <t>130732199508291240</t>
  </si>
  <si>
    <t>河北省张家口市赤城县龙关镇二街村</t>
  </si>
  <si>
    <t>其他</t>
  </si>
  <si>
    <t>赤城县第三中学</t>
  </si>
  <si>
    <t>2412940123@qq.com</t>
  </si>
  <si>
    <t>直接投递</t>
  </si>
  <si>
    <t>杨镇誉</t>
  </si>
  <si>
    <t>61232319910828631X</t>
  </si>
  <si>
    <t>陕西</t>
  </si>
  <si>
    <t>陕西省汉中市洋县谢村镇智果村一组</t>
  </si>
  <si>
    <t>陕西省高教系统职业中等专业学校</t>
  </si>
  <si>
    <t>计算机应用</t>
  </si>
  <si>
    <t>lboxer@qq.com</t>
  </si>
  <si>
    <t>北京市海淀区七贤村9-3-0006</t>
  </si>
  <si>
    <t>杨玲</t>
  </si>
  <si>
    <t>母子</t>
  </si>
  <si>
    <t>下学期会很忙，预计1学期之后可能有时间再来，需跟进</t>
  </si>
  <si>
    <t>白云仁</t>
  </si>
  <si>
    <t>510821199608200016</t>
  </si>
  <si>
    <t>四川省广元市</t>
  </si>
  <si>
    <t>byr2barry@qq.com</t>
  </si>
  <si>
    <t>白彬儒</t>
  </si>
  <si>
    <t>向上</t>
  </si>
  <si>
    <t>Research-LSTM</t>
  </si>
  <si>
    <t>430111199207191314</t>
  </si>
  <si>
    <t>湖南省双峰县</t>
  </si>
  <si>
    <t>北京市海淀区颐和园路5号北京大学元培学院11级本科生宿舍</t>
  </si>
  <si>
    <t>北京大学</t>
  </si>
  <si>
    <t>计算数学</t>
  </si>
  <si>
    <t>Xiangup1@163.com</t>
  </si>
  <si>
    <t>向卫东</t>
  </si>
  <si>
    <t>团队收购</t>
  </si>
  <si>
    <t>休息一段时间考虑创业</t>
  </si>
  <si>
    <t>个人发展方向</t>
  </si>
  <si>
    <t>李璟</t>
  </si>
  <si>
    <t>IS-Smart Camera</t>
  </si>
  <si>
    <t>360203199007161011</t>
  </si>
  <si>
    <t>江西景德镇</t>
  </si>
  <si>
    <t>江西南昌</t>
  </si>
  <si>
    <t>武汉大学</t>
  </si>
  <si>
    <t>724739621@qq.com</t>
  </si>
  <si>
    <t>北京市昌平区回龙观龙腾苑二区14号楼4单元601</t>
  </si>
  <si>
    <t>张文娟</t>
  </si>
  <si>
    <t>女友</t>
  </si>
  <si>
    <t>技术弱，沟通融入有问题，心理脆弱。家人请求协助办理随父母落户</t>
  </si>
  <si>
    <t>个人原因</t>
  </si>
  <si>
    <t>巩运青</t>
  </si>
  <si>
    <t>Research-Text</t>
  </si>
  <si>
    <t>622102199210269638</t>
  </si>
  <si>
    <t>无</t>
  </si>
  <si>
    <t>安徽</t>
  </si>
  <si>
    <t>集体户口</t>
  </si>
  <si>
    <t>gongyq10@gmail.com</t>
  </si>
  <si>
    <t>北京市丰台区万泉寺北路12号院1号楼2单元1702</t>
  </si>
  <si>
    <t>巩文化</t>
  </si>
  <si>
    <t>父子</t>
  </si>
  <si>
    <t>美国读master1年半，可能考虑兼职</t>
  </si>
  <si>
    <t>吴育昕</t>
  </si>
  <si>
    <t>340302199304201070</t>
  </si>
  <si>
    <t>福建</t>
  </si>
  <si>
    <t>ppwwyyxxc@gmail.com</t>
  </si>
  <si>
    <t>清华大学紫荆公寓2#505A</t>
  </si>
  <si>
    <t>吴培任</t>
  </si>
  <si>
    <t>刘晓刚</t>
  </si>
  <si>
    <t>Cloud Service</t>
  </si>
  <si>
    <t>210304198406180433</t>
  </si>
  <si>
    <t>辽宁</t>
  </si>
  <si>
    <t>中国地质大学（北京）</t>
  </si>
  <si>
    <t>信息管理与信息系统</t>
  </si>
  <si>
    <t>captain777@qq.com</t>
  </si>
  <si>
    <t>北京市昌平回龙观</t>
  </si>
  <si>
    <t>史婕</t>
  </si>
  <si>
    <t>2014.9.1起从旷视转到小孔</t>
  </si>
  <si>
    <t>9月底之前在武汉，目前没决定出国还是留在国内发展</t>
  </si>
  <si>
    <t>范学鹏</t>
  </si>
  <si>
    <t>consultant</t>
  </si>
  <si>
    <t>410725198609232011</t>
  </si>
  <si>
    <t>河南省</t>
  </si>
  <si>
    <t>湖北省武汉市珞瑜路1037号</t>
  </si>
  <si>
    <t>博士</t>
  </si>
  <si>
    <t>华中科技大学</t>
  </si>
  <si>
    <t>计算机系统结构</t>
  </si>
  <si>
    <t>athrunarthur@gmail.com</t>
  </si>
  <si>
    <t>湖北省武汉市珞瑜路1037号华中科技大学东五楼201</t>
  </si>
  <si>
    <t>周晓萍</t>
  </si>
  <si>
    <t>夫妻</t>
  </si>
  <si>
    <t>刘力</t>
  </si>
  <si>
    <t>Operation-HR</t>
  </si>
  <si>
    <t>HR实习生</t>
  </si>
  <si>
    <t>130633199505016885</t>
  </si>
  <si>
    <t>河北保定</t>
  </si>
  <si>
    <t>河北省保定市易县易州镇店北家属区国道路喜邻胡同88号</t>
  </si>
  <si>
    <t>北京邮电大学</t>
  </si>
  <si>
    <t>2524207875@qq.com</t>
  </si>
  <si>
    <t>北京市海淀区西土城路10号北京邮电大学</t>
  </si>
  <si>
    <t>黄江涛</t>
  </si>
  <si>
    <t>Develop-PD</t>
  </si>
  <si>
    <t>411302198904054216</t>
  </si>
  <si>
    <t>河南南阳</t>
  </si>
  <si>
    <t>焦作大学</t>
  </si>
  <si>
    <t>计算机信息管理</t>
  </si>
  <si>
    <t>北京市海淀区霍营</t>
  </si>
  <si>
    <t>赵建玲</t>
  </si>
  <si>
    <t>男女朋友</t>
  </si>
  <si>
    <t>HUB，准备考托考G，11月底希望再回来</t>
  </si>
  <si>
    <t>朱睿</t>
  </si>
  <si>
    <t>Research-RNN</t>
  </si>
  <si>
    <t>410711199409120038</t>
  </si>
  <si>
    <t>河南省新乡市</t>
  </si>
  <si>
    <t>北京市</t>
  </si>
  <si>
    <t>zrphercule@gmai.com</t>
  </si>
  <si>
    <t>北京市海淀区颐和园路五号北京大学39楼614</t>
  </si>
  <si>
    <t>朱家训</t>
  </si>
  <si>
    <t>文斌同学，在MIT，暑假临时拉过来帮忙一个月</t>
  </si>
  <si>
    <t>龙凡</t>
  </si>
  <si>
    <t>Research-MegBrain</t>
  </si>
  <si>
    <t>430103198811181011</t>
  </si>
  <si>
    <t>湖南</t>
  </si>
  <si>
    <t>湖南长沙天心区芙蓉南路1号蓝调国际1209</t>
  </si>
  <si>
    <t>MIT</t>
  </si>
  <si>
    <t>EECS</t>
  </si>
  <si>
    <t>fanl@mit.edu</t>
  </si>
  <si>
    <t>北京朝阳区广渠门外大街31号合生国际花园2号楼1403</t>
  </si>
  <si>
    <t>劳娱</t>
  </si>
  <si>
    <t>李天骢</t>
  </si>
  <si>
    <t>后端工程师</t>
  </si>
  <si>
    <t>110102199010303035</t>
  </si>
  <si>
    <t>朝阳区东柏街9号院4号楼2单元401号</t>
  </si>
  <si>
    <t>纽约州立大学宾汉姆顿分校</t>
  </si>
  <si>
    <t>电气工程</t>
  </si>
  <si>
    <t>litiancong@hotmail.com</t>
  </si>
  <si>
    <t>广渠门外大街甲28号8号楼2701</t>
  </si>
  <si>
    <t>范小宁</t>
  </si>
  <si>
    <t>孟泽楠</t>
  </si>
  <si>
    <t>350681199305260017</t>
  </si>
  <si>
    <t>北京市海淀区颐和园路5号京大学信息科学技术学院12级本科宿舍</t>
  </si>
  <si>
    <t>计算机系</t>
  </si>
  <si>
    <t>thisismzn@gmail.com</t>
  </si>
  <si>
    <t>福建省龙海市建发美一城一号楼2303</t>
  </si>
  <si>
    <t>郑小燕</t>
  </si>
  <si>
    <t xml:space="preserve">4.11中午打电话沟通   </t>
  </si>
  <si>
    <t>张董</t>
  </si>
  <si>
    <t>平台产品业务</t>
  </si>
  <si>
    <t>人脸识别服务器</t>
  </si>
  <si>
    <t>软件工程师</t>
  </si>
  <si>
    <t>旷智科技</t>
  </si>
  <si>
    <t>341202198709020017</t>
  </si>
  <si>
    <t>安徽阜阳</t>
  </si>
  <si>
    <t>安徽省阜阳市颍州区文峰办事处边庄16号28户</t>
  </si>
  <si>
    <t>安徽省黄山学院</t>
  </si>
  <si>
    <t>电子信息工程</t>
  </si>
  <si>
    <t>565198485@qq.com</t>
  </si>
  <si>
    <t>杭州市滨江区联庄公寓9#601</t>
  </si>
  <si>
    <t>方洁</t>
  </si>
  <si>
    <t>叶琦</t>
  </si>
  <si>
    <t>330382199412243120</t>
  </si>
  <si>
    <t>浙江省</t>
  </si>
  <si>
    <t>浙江省乐清市翁垟街道前进村</t>
  </si>
  <si>
    <t>英语</t>
  </si>
  <si>
    <t>506791324@qq.com</t>
  </si>
  <si>
    <t>姚尧</t>
  </si>
  <si>
    <t>P&amp;B-MKT&amp;Channel</t>
  </si>
  <si>
    <t>行业营销经理</t>
  </si>
  <si>
    <t>110108198903047810</t>
  </si>
  <si>
    <t>北京市海淀区北清路北分厂14-1-14</t>
  </si>
  <si>
    <t>北京工商大学</t>
  </si>
  <si>
    <t>微机</t>
  </si>
  <si>
    <t>13426173843@163.com</t>
  </si>
  <si>
    <t>李陆平</t>
  </si>
  <si>
    <t>徐洪敏</t>
  </si>
  <si>
    <t>Operation-Finance</t>
  </si>
  <si>
    <t>主办会计</t>
  </si>
  <si>
    <t>220523198210143026</t>
  </si>
  <si>
    <t>吉林省</t>
  </si>
  <si>
    <t>北京市海淀区学院路18号6-3-411</t>
  </si>
  <si>
    <t>中国传媒大学</t>
  </si>
  <si>
    <t>会计学</t>
  </si>
  <si>
    <t>xuhongmin00@aliyun.com</t>
  </si>
  <si>
    <t>曾先生</t>
  </si>
  <si>
    <t>大三太忙，且要准备英语考试，准备出国。希望大四有时间可以再回来</t>
  </si>
  <si>
    <t>钱迪晨</t>
  </si>
  <si>
    <t>33010319950804041X</t>
  </si>
  <si>
    <t>浙江杭州</t>
  </si>
  <si>
    <t>浙江省下城区长庆派出所</t>
  </si>
  <si>
    <t>计算机</t>
  </si>
  <si>
    <t>nathenqian@gmail.com</t>
  </si>
  <si>
    <t>浙江省杭州市西湖区古墩路华立星洲花园圣陶沙韵32号</t>
  </si>
  <si>
    <t>邢湘素</t>
  </si>
  <si>
    <t>有事回老家</t>
  </si>
  <si>
    <t>王光霞</t>
  </si>
  <si>
    <t>Operation-Admin</t>
  </si>
  <si>
    <t>412932196503283424</t>
  </si>
  <si>
    <t>回</t>
  </si>
  <si>
    <t>二胎</t>
  </si>
  <si>
    <t>河南</t>
  </si>
  <si>
    <t>北京市海淀区远大路东口</t>
  </si>
  <si>
    <t>丁叶</t>
  </si>
  <si>
    <t>女儿</t>
  </si>
  <si>
    <t>孙天成</t>
  </si>
  <si>
    <t>Research-LLCV</t>
  </si>
  <si>
    <t>620102199506275816</t>
  </si>
  <si>
    <t>山东青岛</t>
  </si>
  <si>
    <t>上海市浦东新区白杨路360弄7号501室</t>
  </si>
  <si>
    <t>计算机科学与技术（计算机科学实验班）</t>
  </si>
  <si>
    <t>kevin.kingo0627@gmail.com</t>
  </si>
  <si>
    <t>赵晴</t>
  </si>
  <si>
    <t>金升虎</t>
  </si>
  <si>
    <t>产品</t>
  </si>
  <si>
    <t>222405198504190614</t>
  </si>
  <si>
    <t>朝鲜</t>
  </si>
  <si>
    <t>已育</t>
  </si>
  <si>
    <t>浙江理工大学</t>
  </si>
  <si>
    <t>工商管理</t>
  </si>
  <si>
    <t>18258181130</t>
  </si>
  <si>
    <t>Research-V&amp;O</t>
  </si>
  <si>
    <t>江苏</t>
  </si>
  <si>
    <t>江苏省沭阳县信安花园11号楼1单元302</t>
  </si>
  <si>
    <t>thuzhf@gmail.com</t>
  </si>
  <si>
    <t>郑阳</t>
  </si>
  <si>
    <t>行政主管</t>
  </si>
  <si>
    <t>110105198702039647</t>
  </si>
  <si>
    <t>北京市朝阳区亚运村派出所</t>
  </si>
  <si>
    <t>北京城市学院</t>
  </si>
  <si>
    <t>商务英语</t>
  </si>
  <si>
    <t>sophiazheng333@sina.com</t>
  </si>
  <si>
    <t>北京市朝阳区亚运村安慧北里1号楼107</t>
  </si>
  <si>
    <t>郑世福</t>
  </si>
  <si>
    <t>父女</t>
  </si>
  <si>
    <t>梁盾</t>
  </si>
  <si>
    <t>440823199401262011</t>
  </si>
  <si>
    <t>randonlang@gmail.com</t>
  </si>
  <si>
    <t>清华大学紫荆学生公寓2#102A</t>
  </si>
  <si>
    <t>尚保军</t>
  </si>
  <si>
    <t>410603198510243518</t>
  </si>
  <si>
    <t>河南省鹤壁市</t>
  </si>
  <si>
    <t>河南省鹤壁市山城区鹿楼乡故县村故县新村四区3号楼东单元3楼东户</t>
  </si>
  <si>
    <t>外地城镇</t>
  </si>
  <si>
    <t>南京航空航天大学</t>
  </si>
  <si>
    <t>航空专业</t>
  </si>
  <si>
    <t>15394290175</t>
  </si>
  <si>
    <t>shang_baojun@163.com</t>
  </si>
  <si>
    <t>尚金玉</t>
  </si>
  <si>
    <t>宋文东</t>
  </si>
  <si>
    <t>云存储产品线</t>
  </si>
  <si>
    <t>230622198703066170</t>
  </si>
  <si>
    <t>黑龙江大庆</t>
  </si>
  <si>
    <t>天津市南开区卫津路94号</t>
  </si>
  <si>
    <t>模式识别与智能系统</t>
  </si>
  <si>
    <t>9013871@qq.com</t>
  </si>
  <si>
    <t>宋文明</t>
  </si>
  <si>
    <t>兄弟</t>
  </si>
  <si>
    <t>家人做手术需要长时间陪伴，不能加班及出差，入职一周后提出离职。</t>
  </si>
  <si>
    <t>刘欣然</t>
  </si>
  <si>
    <t>KA Solution</t>
  </si>
  <si>
    <t>云计算开发工程师</t>
  </si>
  <si>
    <t>110111198802043018</t>
  </si>
  <si>
    <t>北京市房山区周口店地区娄子水四区305号</t>
  </si>
  <si>
    <t>北方工业大学</t>
  </si>
  <si>
    <t>数学与应用数学专业</t>
  </si>
  <si>
    <t>2010/06</t>
  </si>
  <si>
    <t>lls3018@163.com</t>
  </si>
  <si>
    <t>北京市房山区长阳镇阜盛大街57号院新里程家园一号楼二单元201</t>
  </si>
  <si>
    <t>张亚明</t>
  </si>
  <si>
    <t>亲属</t>
  </si>
  <si>
    <t>梅占霞</t>
  </si>
  <si>
    <t>保洁员</t>
  </si>
  <si>
    <t>342601196306285229</t>
  </si>
  <si>
    <t>离异</t>
  </si>
  <si>
    <t>安徽省巢湖市黄麓镇轧花厂西侧2幢301室</t>
  </si>
  <si>
    <t>北京市海淀区彩和坊路9号</t>
  </si>
  <si>
    <t>张志宏</t>
  </si>
  <si>
    <t>侄儿</t>
  </si>
  <si>
    <t>王欢庆</t>
  </si>
  <si>
    <t>运营部</t>
  </si>
  <si>
    <t>OPS</t>
  </si>
  <si>
    <t>运营</t>
  </si>
  <si>
    <t>410211198407101026</t>
  </si>
  <si>
    <t>河南省开封市</t>
  </si>
  <si>
    <t>河南省开封市金明区庆丰街160号</t>
  </si>
  <si>
    <t>河南科技学院</t>
  </si>
  <si>
    <t>旅游管理</t>
  </si>
  <si>
    <t>237231019@qq.com</t>
  </si>
  <si>
    <t>浙江杭州市滨江区长江小区20-2-202</t>
  </si>
  <si>
    <t>王伟锋</t>
  </si>
  <si>
    <t>陈超</t>
  </si>
  <si>
    <t>公共资源平台</t>
  </si>
  <si>
    <t>330825199112220138</t>
  </si>
  <si>
    <t>浙江省龙游县</t>
  </si>
  <si>
    <t>浙江省龙游县龙洲街道北门5-76x</t>
  </si>
  <si>
    <t>本地城镇</t>
  </si>
  <si>
    <t>441580640@qq.com</t>
  </si>
  <si>
    <t>浙江省杭州市江干区金沙学府49幢2单元201室</t>
  </si>
  <si>
    <t>陈志菊</t>
  </si>
  <si>
    <t>李洪</t>
  </si>
  <si>
    <t>362204199010306136</t>
  </si>
  <si>
    <t>江西</t>
  </si>
  <si>
    <t>江西省高安市石脑镇市场东路11号</t>
  </si>
  <si>
    <t>非农业</t>
  </si>
  <si>
    <t>杭州电子科技大学</t>
  </si>
  <si>
    <t>电子与通信工程</t>
  </si>
  <si>
    <t>leovinli@163.com</t>
  </si>
  <si>
    <t>江西省高安市龙潭镇梅口村委会泥塘组</t>
  </si>
  <si>
    <t>李学武</t>
  </si>
  <si>
    <t>钱洁也</t>
  </si>
  <si>
    <t>HR</t>
  </si>
  <si>
    <t>330283199007172729</t>
  </si>
  <si>
    <t>浙江省宁波市</t>
  </si>
  <si>
    <t>浙江省奉化市溪口镇中兴中路211弄5幢10号</t>
  </si>
  <si>
    <t>重庆邮电大学</t>
  </si>
  <si>
    <t>18580400717</t>
  </si>
  <si>
    <t>qianjieye@163.com</t>
  </si>
  <si>
    <t>杭州市滨江区春波南苑18-9-2</t>
  </si>
  <si>
    <t>钱建军</t>
  </si>
  <si>
    <t>后期投入度和能力都不够，抗压差，毕业到央企拿户口。</t>
  </si>
  <si>
    <t>签约别家公司</t>
  </si>
  <si>
    <t>李莎</t>
  </si>
  <si>
    <t>SmartTech-PD</t>
  </si>
  <si>
    <t>52210119890515762X</t>
  </si>
  <si>
    <t>贵州</t>
  </si>
  <si>
    <t>北京市海淀区颐和园路5号北京大学13级软件与微电子学院研究生宿舍</t>
  </si>
  <si>
    <t>北京大学软件与微电子学院</t>
  </si>
  <si>
    <t>lisha.lisa.pku@gmail.com</t>
  </si>
  <si>
    <t>贵州省遵义市红花岗区万里路兰家堡小区</t>
  </si>
  <si>
    <t>张肇蔚</t>
  </si>
  <si>
    <t>母女</t>
  </si>
  <si>
    <t>表现不好，大头主动结束</t>
  </si>
  <si>
    <t>朱新瑞</t>
  </si>
  <si>
    <t>Research-Pedestrian</t>
  </si>
  <si>
    <t>510108199501011814</t>
  </si>
  <si>
    <t>北京市海淀区清华园1号计算机系</t>
  </si>
  <si>
    <t>zhuxr13@mails.tsinghua.edu.cn</t>
  </si>
  <si>
    <t>北京市海淀区清华大学紫荆学生公寓2-315A</t>
  </si>
  <si>
    <t>陈蜀玉</t>
  </si>
  <si>
    <t>出国，长期投入度不够，小强主动结束</t>
  </si>
  <si>
    <t>李志远</t>
  </si>
  <si>
    <t>320282199512210011</t>
  </si>
  <si>
    <t>江苏无锡</t>
  </si>
  <si>
    <t>江苏省宜兴市和桥镇华达家苑54号</t>
  </si>
  <si>
    <t>计算机科学实验班</t>
  </si>
  <si>
    <t>lzy.1221@foxmail.com</t>
  </si>
  <si>
    <t>李盘高</t>
  </si>
  <si>
    <t>董方宏</t>
  </si>
  <si>
    <t>310110199502042019</t>
  </si>
  <si>
    <t>上海市杨浦区凤南一村20号303室</t>
  </si>
  <si>
    <t>876216940@qq.com</t>
  </si>
  <si>
    <t>上海市杨浦区市光四村196号503室</t>
  </si>
  <si>
    <t>董志明</t>
  </si>
  <si>
    <t>之前希望长期吸引，时间不行基本没怎么来，大四再跟进</t>
  </si>
  <si>
    <t>余翔</t>
  </si>
  <si>
    <t>Research-Image</t>
  </si>
  <si>
    <t>320982199411205772</t>
  </si>
  <si>
    <t>江苏大丰</t>
  </si>
  <si>
    <t>江苏省大丰市裕华镇居委会</t>
  </si>
  <si>
    <t>清华大学计算机系</t>
  </si>
  <si>
    <t>yxfish13@gmail.com</t>
  </si>
  <si>
    <t>北京市海淀区清华大学紫荆学生公寓2号楼301A</t>
  </si>
  <si>
    <t>刘华凤</t>
  </si>
  <si>
    <t>徐梓哲</t>
  </si>
  <si>
    <t>黄海洋</t>
  </si>
  <si>
    <t>36242819890601693X</t>
  </si>
  <si>
    <t>江西省万安县</t>
  </si>
  <si>
    <t>江西省吉安市万安县武术乡社田村十七组</t>
  </si>
  <si>
    <t>外地农户</t>
  </si>
  <si>
    <t>海南大学</t>
  </si>
  <si>
    <t>13588845070</t>
  </si>
  <si>
    <t>hhy@kuangzhitech.com</t>
  </si>
  <si>
    <t>hhaiyangvc@163.com</t>
  </si>
  <si>
    <t>杭州市滨江区江畔芸芦小区9-1702</t>
  </si>
  <si>
    <t>吕明伟</t>
  </si>
  <si>
    <t>大三下回学校，希望大四上再回来</t>
  </si>
  <si>
    <t>丁戍</t>
  </si>
  <si>
    <t>Cloud Service-Dev</t>
  </si>
  <si>
    <t>420116199412272033</t>
  </si>
  <si>
    <t>湖北武汉</t>
  </si>
  <si>
    <t>复旦大学</t>
  </si>
  <si>
    <t>计算机科学技术</t>
  </si>
  <si>
    <t>quietshu@gmail.com</t>
  </si>
  <si>
    <t>湖北省武汉市黄陂区前川街金都街57号3栋3单元401室</t>
  </si>
  <si>
    <t>丁原</t>
  </si>
  <si>
    <t>MegCup</t>
  </si>
  <si>
    <t>曹锋</t>
  </si>
  <si>
    <t>370831198201202433</t>
  </si>
  <si>
    <t>山东</t>
  </si>
  <si>
    <t>浙江省杭州市</t>
  </si>
  <si>
    <t>南京邮电大学</t>
  </si>
  <si>
    <t>cf@kuangzhitech.com</t>
  </si>
  <si>
    <t>154254041@qq.com</t>
  </si>
  <si>
    <t>孙燕雯</t>
  </si>
  <si>
    <t>李爱林</t>
  </si>
  <si>
    <t>蒋建益</t>
  </si>
  <si>
    <t>智能Camera</t>
  </si>
  <si>
    <t>330726198802271334</t>
  </si>
  <si>
    <t>浙江省浦江县</t>
  </si>
  <si>
    <t>浙江省浦江县黄宅镇沙塍头村</t>
  </si>
  <si>
    <t>非农</t>
  </si>
  <si>
    <t>jjy@kuangzhitech.com</t>
  </si>
  <si>
    <t>杭州市西湖区蒋村花园广安苑26幢1单元401</t>
  </si>
  <si>
    <t>徐舒</t>
  </si>
  <si>
    <t>黄鹏</t>
  </si>
  <si>
    <t>420983198611031872</t>
  </si>
  <si>
    <t>湖北广水</t>
  </si>
  <si>
    <t>杭州市滨江区长河街道滨安路1187号</t>
  </si>
  <si>
    <t>系统结构</t>
  </si>
  <si>
    <t>hp@kuangzhitech.com</t>
  </si>
  <si>
    <t>516576294@qq.com</t>
  </si>
  <si>
    <t>杭州市余杭区翁梅社区青春时代华庭5#703室</t>
  </si>
  <si>
    <t>金菊红</t>
  </si>
  <si>
    <t>沈圣远</t>
  </si>
  <si>
    <t>411321199011183217</t>
  </si>
  <si>
    <t>农业</t>
  </si>
  <si>
    <t>中国计量学院</t>
  </si>
  <si>
    <t>计算机应用技术</t>
  </si>
  <si>
    <t>18758207145</t>
  </si>
  <si>
    <t>422520859@qq.com</t>
  </si>
  <si>
    <t>河南省南阳市桐柏县吴城镇陈留店村河坎组2号</t>
  </si>
  <si>
    <t>梅支礼</t>
  </si>
  <si>
    <t>室友</t>
  </si>
  <si>
    <t>6214855710428406</t>
  </si>
  <si>
    <t>去更早期创业公司，电商，也在面百度，还没决定</t>
  </si>
  <si>
    <t>郑洪举</t>
  </si>
  <si>
    <t>220403198903141559</t>
  </si>
  <si>
    <t>吉林省辽源市</t>
  </si>
  <si>
    <t>吉林省辽源市龙山区颐和山庄2单元306</t>
  </si>
  <si>
    <t>东北电力大学</t>
  </si>
  <si>
    <t>jonnycheng6@gmail.com</t>
  </si>
  <si>
    <t>北京市海淀区中关村大街水磨新区21号</t>
  </si>
  <si>
    <t>郑伟</t>
  </si>
  <si>
    <t>身体原因，要做两个大手术，需要休息半年以上。</t>
  </si>
  <si>
    <t>刘思倩</t>
  </si>
  <si>
    <t>财务会计</t>
  </si>
  <si>
    <t>11010219900211332X</t>
  </si>
  <si>
    <t>北京市西城区阜外大街派出所</t>
  </si>
  <si>
    <t>中国石油大学（北京校区）</t>
  </si>
  <si>
    <t>18810869132@163.com</t>
  </si>
  <si>
    <t>北京市西城区阜外大街乙40号院5号楼3门6号</t>
  </si>
  <si>
    <t>刘振华</t>
  </si>
  <si>
    <t>刘涛</t>
  </si>
  <si>
    <t>解决方案</t>
  </si>
  <si>
    <t>421083198711280018</t>
  </si>
  <si>
    <t>湖北洪湖</t>
  </si>
  <si>
    <t>浙江省杭州市滨江区伟业路1号9幢</t>
  </si>
  <si>
    <t>精密仪器及机械</t>
  </si>
  <si>
    <t>lt@kuangzhitech.com</t>
  </si>
  <si>
    <t>839440580@qq.com</t>
  </si>
  <si>
    <t>浙江省杭州市萧山经济开发区德意中心广场2幢1单元301</t>
  </si>
  <si>
    <t>么珊珊</t>
  </si>
  <si>
    <t>配偶</t>
  </si>
  <si>
    <t>刘星</t>
  </si>
  <si>
    <t>智能物联业务</t>
  </si>
  <si>
    <t>360427199010062032</t>
  </si>
  <si>
    <t>江西省九江市星子县</t>
  </si>
  <si>
    <t>江西省九江市星子县蓼南乡长西岭村下边刘12号</t>
  </si>
  <si>
    <t>江西理工大学</t>
  </si>
  <si>
    <t>软件工程机械电子工程</t>
  </si>
  <si>
    <t>15968846255</t>
  </si>
  <si>
    <t>lx@kuangzhitech.com</t>
  </si>
  <si>
    <t>492341344@qq.com</t>
  </si>
  <si>
    <t>杭州市滨江区滨文路浙新小区</t>
  </si>
  <si>
    <t>胡萍</t>
  </si>
  <si>
    <t>俞鸣园</t>
  </si>
  <si>
    <t>软件平台</t>
  </si>
  <si>
    <t>平台软件架构师</t>
  </si>
  <si>
    <t>332624198308060391</t>
  </si>
  <si>
    <t>浙江台州仙居</t>
  </si>
  <si>
    <t>浙江省杭州市西湖区和家园御和园5幢1单元702室</t>
  </si>
  <si>
    <t>浙江农林大学</t>
  </si>
  <si>
    <t>信息与计算科学</t>
  </si>
  <si>
    <t>ymy@kuangzhitech.com</t>
  </si>
  <si>
    <t>ymy0806@163.com</t>
  </si>
  <si>
    <t>沈姝霞</t>
  </si>
  <si>
    <t>彭席汉</t>
  </si>
  <si>
    <t>由于父亲身体原因，需要经常回江苏老家照看，到上海工作了。</t>
  </si>
  <si>
    <t>高宇</t>
  </si>
  <si>
    <t>R&amp;D-Infra</t>
  </si>
  <si>
    <t>320482198705117311</t>
  </si>
  <si>
    <t>江苏省金坛市</t>
  </si>
  <si>
    <t>北京市清华大学</t>
  </si>
  <si>
    <t>电子科学与技术</t>
  </si>
  <si>
    <t>gavin.yu.gao@gmail.com</t>
  </si>
  <si>
    <t>北京市西郊宾馆</t>
  </si>
  <si>
    <t>高冠堂</t>
  </si>
  <si>
    <t>2016-3-1应从旷视转签小孔，因办理居住证暂缓转移。</t>
  </si>
  <si>
    <t>1.家庭原因回天津工作，2.工作中突发任务太多变化太快，3.与leader风格不适应</t>
  </si>
  <si>
    <t>郝文丹</t>
  </si>
  <si>
    <t>财务部</t>
  </si>
  <si>
    <t>总账经理</t>
  </si>
  <si>
    <t>12022419861017192X</t>
  </si>
  <si>
    <t>天津市宝坻区大口屯镇古庄村</t>
  </si>
  <si>
    <t>北京交通大学</t>
  </si>
  <si>
    <t>957663954@qq.com</t>
  </si>
  <si>
    <t>谷祖阳</t>
  </si>
  <si>
    <t>决定去美国工作，小孩身体不能适应北京的环境</t>
  </si>
  <si>
    <t>全家移民新加坡</t>
  </si>
  <si>
    <t>程学刚</t>
  </si>
  <si>
    <t>Business-Service</t>
  </si>
  <si>
    <t>项目交付经理</t>
  </si>
  <si>
    <t>231002198303181076</t>
  </si>
  <si>
    <t>黑龙江省牡丹江市</t>
  </si>
  <si>
    <t>北京市海淀区上地东里一区4号楼504号</t>
  </si>
  <si>
    <t>香港科技大学</t>
  </si>
  <si>
    <t>电子工程学</t>
  </si>
  <si>
    <t>cheng.xuegang@gmail.com</t>
  </si>
  <si>
    <t>北京市海淀区上地东里六区5号楼1单元504号</t>
  </si>
  <si>
    <t>孟旭</t>
  </si>
  <si>
    <t>不合格，未录用</t>
  </si>
  <si>
    <t>33038219940503171x</t>
  </si>
  <si>
    <t>浙江</t>
  </si>
  <si>
    <t>浙江省温州市乐清市西芩村</t>
  </si>
  <si>
    <t>xuzzbaront@gmail.com</t>
  </si>
  <si>
    <t>浙江省温州市乐清市前岸村</t>
  </si>
  <si>
    <t>陈霞</t>
  </si>
  <si>
    <t>回外资公司，工作时间更灵活</t>
  </si>
  <si>
    <t>温赞玲</t>
  </si>
  <si>
    <t>Senior HR Manager</t>
  </si>
  <si>
    <t>132801198110163829</t>
  </si>
  <si>
    <t>内蒙古突泉县</t>
  </si>
  <si>
    <t>北京市昌平区回龙观镇回龙观村1006号宿舍4楼211</t>
  </si>
  <si>
    <t>北京理工大学</t>
  </si>
  <si>
    <t>机械工程及自动化</t>
  </si>
  <si>
    <t>wenzanling@126.com</t>
  </si>
  <si>
    <t>北京市昌平区昌平路387号蓝天嘉园小区10号楼3单元3212</t>
  </si>
  <si>
    <t>刘海军</t>
  </si>
  <si>
    <t>猎头推荐</t>
  </si>
  <si>
    <t>希望做ios开发而不只是售后，工作不饱和，去易车网</t>
  </si>
  <si>
    <t>张强</t>
  </si>
  <si>
    <t>152324199111060018</t>
  </si>
  <si>
    <t>蒙古族</t>
  </si>
  <si>
    <t>辽宁省抚顺市</t>
  </si>
  <si>
    <t>辽宁省抚顺市望花区</t>
  </si>
  <si>
    <t>内蒙古工业大学</t>
  </si>
  <si>
    <t>电子信息科学与技术</t>
  </si>
  <si>
    <t>zq252125@163.com</t>
  </si>
  <si>
    <t>北京市海淀区花园路牡丹园东里</t>
  </si>
  <si>
    <t>张振国</t>
  </si>
  <si>
    <t>韩杰</t>
  </si>
  <si>
    <t>市场</t>
  </si>
  <si>
    <t>340603198105281010</t>
  </si>
  <si>
    <t>陕西省西安市长安区韦曲杜陵东路366号</t>
  </si>
  <si>
    <t>工商企业管理</t>
  </si>
  <si>
    <t>18992812288</t>
  </si>
  <si>
    <t>hj@kuangzhitech.com</t>
  </si>
  <si>
    <t>hanjie8888@vip.163.com</t>
  </si>
  <si>
    <t>西安市长安区韦曲杜陵东路366号富力城</t>
  </si>
  <si>
    <t>吕林</t>
  </si>
  <si>
    <t>庞杰</t>
  </si>
  <si>
    <t>331023199305180536</t>
  </si>
  <si>
    <t>浙江省天台县赤城街道皇家公寓12幢401室</t>
  </si>
  <si>
    <t>15757179560</t>
  </si>
  <si>
    <t>pj@kuangzhitech.com</t>
  </si>
  <si>
    <t>244614948@qq.com</t>
  </si>
  <si>
    <t>浙江省杭州市江干区中国计量学院现代科技学院</t>
  </si>
  <si>
    <t>庞武汉</t>
  </si>
  <si>
    <t>51job</t>
  </si>
  <si>
    <t>罗翔宇</t>
  </si>
  <si>
    <t>411421199505220036</t>
  </si>
  <si>
    <t>河南民权</t>
  </si>
  <si>
    <t>北京大学信息科学技术学院本科生宿舍</t>
  </si>
  <si>
    <t>信科</t>
  </si>
  <si>
    <t>echooatmeal@gmail.com</t>
  </si>
  <si>
    <t>北京海淀区北京大学39楼639</t>
  </si>
  <si>
    <t>王玉玲</t>
  </si>
  <si>
    <t>乔治主动结束，写code能力不足</t>
  </si>
  <si>
    <t>孙霏</t>
  </si>
  <si>
    <t>420106199502244420</t>
  </si>
  <si>
    <t>北京市海淀区颐和园路5号北京大学数学学院13机本科生集体宿舍</t>
  </si>
  <si>
    <t>数学</t>
  </si>
  <si>
    <t>sunfei@pku.edu.cn</t>
  </si>
  <si>
    <t>孙兆嵘</t>
  </si>
  <si>
    <t>马力克</t>
  </si>
  <si>
    <t>学校和研究生阶段事情太多忙不过来</t>
  </si>
  <si>
    <t>李旭鹏</t>
  </si>
  <si>
    <t>120101199312142519</t>
  </si>
  <si>
    <t>天津</t>
  </si>
  <si>
    <t>北京市海淀区颐和园路5号北京大学信息科学技术学院12级本科生宿舍</t>
  </si>
  <si>
    <t>北京大学科学与技术</t>
  </si>
  <si>
    <t>tjslxpeng@gmail.com</t>
  </si>
  <si>
    <t>北京市海淀区颐和园路5号北京大学39楼618室</t>
  </si>
  <si>
    <t>徐文珍</t>
  </si>
  <si>
    <t>闫学灿</t>
  </si>
  <si>
    <t>龙绪杰</t>
  </si>
  <si>
    <t>450502199312151516</t>
  </si>
  <si>
    <t>广西北海</t>
  </si>
  <si>
    <t>广西北海市海城区靖海镇细小岭33号</t>
  </si>
  <si>
    <t>22 外地农村（省外）</t>
  </si>
  <si>
    <t>浙江省杭州电子科技大学</t>
  </si>
  <si>
    <t>信息安全</t>
  </si>
  <si>
    <t>lxj@kuangzhitech.com</t>
  </si>
  <si>
    <t>939781326@qq.com</t>
  </si>
  <si>
    <t>浙江省杭州市下沙杭州电子科技大学生活区</t>
  </si>
  <si>
    <t>付小松</t>
  </si>
  <si>
    <t>同学</t>
  </si>
  <si>
    <t>校招</t>
  </si>
  <si>
    <t>陈如琛</t>
  </si>
  <si>
    <t>330327199402091739</t>
  </si>
  <si>
    <t>浙江温州</t>
  </si>
  <si>
    <t>浙江省苍南县钱库镇陈南村路西50号</t>
  </si>
  <si>
    <t>21 外地农村（省内市外）</t>
  </si>
  <si>
    <t>中国计量大学</t>
  </si>
  <si>
    <t>crc@kuangzhitech.com</t>
  </si>
  <si>
    <t>37800725@qq.com</t>
  </si>
  <si>
    <t>浙江省苍南县钱库镇环城北路65号</t>
  </si>
  <si>
    <t>黄玉仙</t>
  </si>
  <si>
    <t>廖福海</t>
  </si>
  <si>
    <t>452225199201044515</t>
  </si>
  <si>
    <t>壮族</t>
  </si>
  <si>
    <t>广西武宣</t>
  </si>
  <si>
    <t>广西武宣县桐岭镇大同村民委大覃村81号</t>
  </si>
  <si>
    <t>农村户口</t>
  </si>
  <si>
    <t>自动化专业</t>
  </si>
  <si>
    <t>lfh@kuangzhitech.com</t>
  </si>
  <si>
    <t>820125100@qq.com</t>
  </si>
  <si>
    <t>廖美宗</t>
  </si>
  <si>
    <t>王中坚</t>
  </si>
  <si>
    <t>332624199210150932</t>
  </si>
  <si>
    <t>浙江省仙居县埠头镇楼下王村65号</t>
  </si>
  <si>
    <t>农村</t>
  </si>
  <si>
    <t>浙江大学</t>
  </si>
  <si>
    <t>自动化（电气）</t>
  </si>
  <si>
    <t>18868110677</t>
  </si>
  <si>
    <t>wzj@kuangzhitech.com</t>
  </si>
  <si>
    <t>18868110677@163.com</t>
  </si>
  <si>
    <t>浙江大学玉泉校区一舍583</t>
  </si>
  <si>
    <t>王佳成</t>
  </si>
  <si>
    <t>张香龙</t>
  </si>
  <si>
    <t>362321198710075719</t>
  </si>
  <si>
    <t>江西上饶</t>
  </si>
  <si>
    <t>江西省上饶市上饶县石狮乡丁家仓村大波滩53号</t>
  </si>
  <si>
    <t>集体户</t>
  </si>
  <si>
    <t>华东交通大学</t>
  </si>
  <si>
    <t>计算机技术</t>
  </si>
  <si>
    <t>zxl@kuangzhitech.com</t>
  </si>
  <si>
    <t>jxau10086@sina.com</t>
  </si>
  <si>
    <t>杭州市江干区3号大街大都文苑风情13幢2单元201</t>
  </si>
  <si>
    <t>张林娜</t>
  </si>
  <si>
    <t>女朋友</t>
  </si>
  <si>
    <t>回东北老家发展</t>
  </si>
  <si>
    <t>李莹</t>
  </si>
  <si>
    <t>230231199110302229</t>
  </si>
  <si>
    <t>黑龙江大庆市</t>
  </si>
  <si>
    <t>黑龙江省大庆市</t>
  </si>
  <si>
    <t>哈尔滨商业大学</t>
  </si>
  <si>
    <t>245757966@qq.com</t>
  </si>
  <si>
    <t>北京市朝阳区柳芳北里21号楼2门301</t>
  </si>
  <si>
    <t>李长年</t>
  </si>
  <si>
    <t>组织结构调整</t>
  </si>
  <si>
    <t>360429198108131014</t>
  </si>
  <si>
    <t>深圳市龙岗区四季花城丹桂苑R302</t>
  </si>
  <si>
    <t>机械制造及其自动化</t>
  </si>
  <si>
    <t>18058105042</t>
  </si>
  <si>
    <t>lal@kuangzhitech.com</t>
  </si>
  <si>
    <t>寇文娟</t>
  </si>
  <si>
    <t>340822198103054615</t>
  </si>
  <si>
    <t>机械</t>
  </si>
  <si>
    <t>2006年</t>
  </si>
  <si>
    <t>13958111032</t>
  </si>
  <si>
    <t>pxh@kuangzhitech.com</t>
  </si>
  <si>
    <t>64106546@qq.com</t>
  </si>
  <si>
    <t>杭州市余杭区乔司镇东城丽景小区</t>
  </si>
  <si>
    <t>李雪梅</t>
  </si>
  <si>
    <t>周庆军</t>
  </si>
  <si>
    <t>320723197902163458</t>
  </si>
  <si>
    <t>江苏省灌云县</t>
  </si>
  <si>
    <t>江苏省灌云县杨集镇孙兴村和尚庄112号</t>
  </si>
  <si>
    <t>江西渝州电子工业学院</t>
  </si>
  <si>
    <t>计算机及应用</t>
  </si>
  <si>
    <t>zqj@kuangzhitech.com</t>
  </si>
  <si>
    <t>zhouqingjun@163.com</t>
  </si>
  <si>
    <t>连云港市灌云县杨集镇</t>
  </si>
  <si>
    <t>郭丹红</t>
  </si>
  <si>
    <t>330724197708180017</t>
  </si>
  <si>
    <t>浙江省东阳县</t>
  </si>
  <si>
    <t>杭州市西湖区翠苑新村二区41幢4单元602室</t>
  </si>
  <si>
    <t>长沙铁道学院</t>
  </si>
  <si>
    <t>电力牵引与传动控制</t>
  </si>
  <si>
    <t>13185081936</t>
  </si>
  <si>
    <t>gdh@kuangzhitech.com</t>
  </si>
  <si>
    <t>杭州市翠苑二区6-4-602</t>
  </si>
  <si>
    <t>黄昕</t>
  </si>
  <si>
    <t>罗艳清</t>
  </si>
  <si>
    <t>42092119820904465X</t>
  </si>
  <si>
    <t>湖北省孝昌县</t>
  </si>
  <si>
    <t>湖北省孝昌县花园镇双桥村7组</t>
  </si>
  <si>
    <t>武汉工业学院</t>
  </si>
  <si>
    <t>化学工程与工艺</t>
  </si>
  <si>
    <t>lyq@kuangzhitech.com</t>
  </si>
  <si>
    <t>rocy2000@163.com</t>
  </si>
  <si>
    <t>浙江省杭州市滨江区新生社区7甲171号</t>
  </si>
  <si>
    <t>鲁夏琼</t>
  </si>
  <si>
    <t>照顾家庭不能出差，更期望做研发而不是项目</t>
  </si>
  <si>
    <t>徐蓓</t>
  </si>
  <si>
    <t>云服务业务</t>
  </si>
  <si>
    <t>KIS-KAS</t>
  </si>
  <si>
    <t>定制化开发工程师</t>
  </si>
  <si>
    <t>320311198701275530</t>
  </si>
  <si>
    <t>江苏徐州</t>
  </si>
  <si>
    <t>江苏省徐州市云龙区郭庄路世茂天观9号楼501室</t>
  </si>
  <si>
    <t>南京信息职业技术学院</t>
  </si>
  <si>
    <t>微电子技术</t>
  </si>
  <si>
    <t>xiaoxubeii@gmail.com</t>
  </si>
  <si>
    <t>北京海淀区北太平庄小区9号楼1单元402室</t>
  </si>
  <si>
    <t>时杨</t>
  </si>
  <si>
    <t>张荣祥</t>
  </si>
  <si>
    <t>兼职ISP工程师</t>
  </si>
  <si>
    <r>
      <rPr>
        <sz val="10"/>
        <rFont val="宋体"/>
        <charset val="134"/>
      </rPr>
      <t>3210811983010660</t>
    </r>
    <r>
      <rPr>
        <sz val="9"/>
        <color theme="1"/>
        <rFont val="宋体"/>
        <charset val="134"/>
      </rPr>
      <t>12</t>
    </r>
  </si>
  <si>
    <t>15168383678</t>
  </si>
  <si>
    <t>去google US,BJ parking一年</t>
  </si>
  <si>
    <t>倪泽堃</t>
  </si>
  <si>
    <t>320502199507112016</t>
  </si>
  <si>
    <t>安徽桐城</t>
  </si>
  <si>
    <t>zekun_ni@126.com</t>
  </si>
  <si>
    <t>江苏省苏州市吴中区金枫南路1008号19-2403</t>
  </si>
  <si>
    <t>倪劲松</t>
  </si>
  <si>
    <t>父</t>
  </si>
  <si>
    <t>暑期实习，去斯坦福master</t>
  </si>
  <si>
    <t>王元方</t>
  </si>
  <si>
    <t>市场部</t>
  </si>
  <si>
    <t>Business-Branding</t>
  </si>
  <si>
    <t>410102199305240044</t>
  </si>
  <si>
    <t>河南省郑州市</t>
  </si>
  <si>
    <t>北京市海淀区颐和园路5号北京大学物理学院2012级本科生宿舍</t>
  </si>
  <si>
    <t>智能</t>
  </si>
  <si>
    <t>yuanfang0524@gmail.com</t>
  </si>
  <si>
    <t>北京市海淀区颐和园路5号北京大学41楼116室</t>
  </si>
  <si>
    <t>王子仰</t>
  </si>
  <si>
    <t>杜宇飞，姜和</t>
  </si>
  <si>
    <t>去香港科技大学读研</t>
  </si>
  <si>
    <t>姜和</t>
  </si>
  <si>
    <t>110108199307106014</t>
  </si>
  <si>
    <t>锡伯</t>
  </si>
  <si>
    <t>山东省烟台市</t>
  </si>
  <si>
    <t>北京市海淀区大柳树路2号西六楼212号</t>
  </si>
  <si>
    <t>智能科学与技术</t>
  </si>
  <si>
    <t>hejiang@pku.edu.cn</t>
  </si>
  <si>
    <t>北京市海淀区大柳树路2号北1楼742号</t>
  </si>
  <si>
    <t>姜海波</t>
  </si>
  <si>
    <t>陈双平</t>
  </si>
  <si>
    <t>42102319831119611X</t>
  </si>
  <si>
    <t>湖北省松滋市</t>
  </si>
  <si>
    <t>湖北省荆州市监利县荒湖农场</t>
  </si>
  <si>
    <t>太原理工大学</t>
  </si>
  <si>
    <t>资源勘查工程</t>
  </si>
  <si>
    <t>18857112504</t>
  </si>
  <si>
    <t>csp@kuangzhitech.com</t>
  </si>
  <si>
    <t>mincore@163.com</t>
  </si>
  <si>
    <t>杭州市滨江区长岛之春2栋3单元301</t>
  </si>
  <si>
    <t>周晶</t>
  </si>
  <si>
    <t>去msra读博</t>
  </si>
  <si>
    <t>510113199301300014</t>
  </si>
  <si>
    <t>四川</t>
  </si>
  <si>
    <t xml:space="preserve"> 四川省成都市金牛区圃园南二路2号3-9</t>
  </si>
  <si>
    <t>北京大学物理学院</t>
  </si>
  <si>
    <t>物理学</t>
  </si>
  <si>
    <t>milkpku@gmail.com</t>
  </si>
  <si>
    <t>四川省成都市金牛区圃园南二路2号3-9</t>
  </si>
  <si>
    <t>周波</t>
  </si>
  <si>
    <t>郑敏霞</t>
  </si>
  <si>
    <t>330106198711123020</t>
  </si>
  <si>
    <t>杭州市西湖区双铺镇白鸟村162号</t>
  </si>
  <si>
    <t>20 本地农村（主城区）</t>
  </si>
  <si>
    <t>工商大学</t>
  </si>
  <si>
    <t>行政管理</t>
  </si>
  <si>
    <t>zmx@kuangzhitech.com</t>
  </si>
  <si>
    <t>916001439@qq.com</t>
  </si>
  <si>
    <t>徐振春</t>
  </si>
  <si>
    <t>丈夫</t>
  </si>
  <si>
    <t>未通过试用，但个人很有意愿再回来</t>
  </si>
  <si>
    <t>张高翔</t>
  </si>
  <si>
    <t>350111199501152914</t>
  </si>
  <si>
    <t>zanoes@pku.edu.cn</t>
  </si>
  <si>
    <t>北京市海淀区颐和园路5号北京大学46楼2105</t>
  </si>
  <si>
    <t>张应雄</t>
  </si>
  <si>
    <t>李煜东</t>
  </si>
  <si>
    <t>试用期延长2个月，表现仍不合格</t>
  </si>
  <si>
    <t>包振华</t>
  </si>
  <si>
    <t>CSP-Dev</t>
  </si>
  <si>
    <t>高级后端开发工程师</t>
  </si>
  <si>
    <t>110101198304202079</t>
  </si>
  <si>
    <t>浙江省鄞县</t>
  </si>
  <si>
    <t>北京市海淀区太月园小区12号楼510室</t>
  </si>
  <si>
    <t>University of Bristol</t>
  </si>
  <si>
    <t>Advanced Computing on Multi-media and Web Technology</t>
  </si>
  <si>
    <t>pal-bzh@163.com</t>
  </si>
  <si>
    <t>北京市崇文区都市馨园</t>
  </si>
  <si>
    <t>韩青</t>
  </si>
  <si>
    <t>猎头</t>
  </si>
  <si>
    <t>协商一致</t>
  </si>
  <si>
    <t>李志荣</t>
  </si>
  <si>
    <t>Business</t>
  </si>
  <si>
    <t>Sales VP</t>
  </si>
  <si>
    <t>420111197706055535</t>
  </si>
  <si>
    <t>上海市浦东新区东绣路999弄2号802</t>
  </si>
  <si>
    <t>城市</t>
  </si>
  <si>
    <t>上海交通大学</t>
  </si>
  <si>
    <t>仪器工程</t>
  </si>
  <si>
    <t>lizhirongapple@icloud.com</t>
  </si>
  <si>
    <t>北京市海淀区紫竹院路31号3号楼23E</t>
  </si>
  <si>
    <t>孙萌</t>
  </si>
  <si>
    <t>伯乐</t>
  </si>
  <si>
    <t>打acm</t>
  </si>
  <si>
    <t>陈牧歌</t>
  </si>
  <si>
    <t>Research-4D</t>
  </si>
  <si>
    <t>420923199711055810</t>
  </si>
  <si>
    <t>湖北云梦</t>
  </si>
  <si>
    <t>信息科学技术学院</t>
  </si>
  <si>
    <t>wcmg.chen@gmail.com</t>
  </si>
  <si>
    <t>北京市海淀区北京大学31楼167室</t>
  </si>
  <si>
    <t>陈新平</t>
  </si>
  <si>
    <t>回去忙各种社团和双学位</t>
  </si>
  <si>
    <t>张瑞喆</t>
  </si>
  <si>
    <t>350102199705021514</t>
  </si>
  <si>
    <t>福建泉州</t>
  </si>
  <si>
    <t>657228726@qq.com</t>
  </si>
  <si>
    <t>北京市海淀区清华园1号紫荆公寓2#607A</t>
  </si>
  <si>
    <t>张文琪</t>
  </si>
  <si>
    <t>郝庆</t>
  </si>
  <si>
    <t>Director of Cloud Solutions</t>
  </si>
  <si>
    <t>110108198012127817</t>
  </si>
  <si>
    <t>北京市朝阳区潘家园39楼104室</t>
  </si>
  <si>
    <t>pkuenigma@163.com</t>
  </si>
  <si>
    <t>通州区北苑杨庄路天时名苑小区9号楼2单元101室</t>
  </si>
  <si>
    <t>杨楠</t>
  </si>
  <si>
    <t>孩子太小不想离开无锡</t>
  </si>
  <si>
    <t>孙兆曙</t>
  </si>
  <si>
    <t>SSN-Security BD</t>
  </si>
  <si>
    <t>研发工程师</t>
  </si>
  <si>
    <t>320925198606032013</t>
  </si>
  <si>
    <t>江苏省盐城市</t>
  </si>
  <si>
    <t>江苏省盐城市建湖县建阳镇新阳村六组37号</t>
  </si>
  <si>
    <t>哈尔滨工业大学</t>
  </si>
  <si>
    <t>435525501@qq.com</t>
  </si>
  <si>
    <t>江苏省无锡市南长区清扬康臣127号1501</t>
  </si>
  <si>
    <t>杨爱萍</t>
  </si>
  <si>
    <t>未通过试用，心理状态不好</t>
  </si>
  <si>
    <t>任路遥</t>
  </si>
  <si>
    <t>330282199611172817</t>
  </si>
  <si>
    <t>信息科学技术</t>
  </si>
  <si>
    <t>375833274@qq.com</t>
  </si>
  <si>
    <t>浙江省慈溪市环城东路9幢4号</t>
  </si>
  <si>
    <t>张科芳</t>
  </si>
  <si>
    <t>对公司战略及新leader不认同</t>
  </si>
  <si>
    <t>刘柠</t>
  </si>
  <si>
    <t>Sr.PM</t>
  </si>
  <si>
    <t>110108198105120032</t>
  </si>
  <si>
    <t>北京市海淀区北三环西路47号院58楼2门5号</t>
  </si>
  <si>
    <t>软件技术</t>
  </si>
  <si>
    <t>nikolauspk@163.com</t>
  </si>
  <si>
    <t>刘哲</t>
  </si>
  <si>
    <t>张磊</t>
  </si>
  <si>
    <t>Principal Solution Architect</t>
  </si>
  <si>
    <t>110101198107153511</t>
  </si>
  <si>
    <t>北京市东城区南吉祥胡同10号</t>
  </si>
  <si>
    <t>凝聚态物理</t>
  </si>
  <si>
    <t>redheadflyundershadow@gmail.com</t>
  </si>
  <si>
    <t>李京生</t>
  </si>
  <si>
    <t>母</t>
  </si>
  <si>
    <t>张洵恺</t>
  </si>
  <si>
    <t>Research-DTR</t>
  </si>
  <si>
    <t>140106199405051830</t>
  </si>
  <si>
    <t>山西省寿阳县</t>
  </si>
  <si>
    <t>北京市海淀区清华园1号自动化系</t>
  </si>
  <si>
    <t>xkzhangcs@gmail.com</t>
  </si>
  <si>
    <t>北京市海淀区清华大学紫荆公寓</t>
  </si>
  <si>
    <t>张永旺</t>
  </si>
  <si>
    <t>马保利</t>
  </si>
  <si>
    <t>Business-Sales</t>
  </si>
  <si>
    <t>华南区高级销售经理</t>
  </si>
  <si>
    <t>140202197602055516</t>
  </si>
  <si>
    <t>河北武邑</t>
  </si>
  <si>
    <t>广州市天河区龙口西路361号2509房</t>
  </si>
  <si>
    <t>徐琴</t>
  </si>
  <si>
    <t>2016.4.25转到ops</t>
  </si>
  <si>
    <t>刘立杰</t>
  </si>
  <si>
    <t>R&amp;D-DevOps</t>
  </si>
  <si>
    <t>资产管理专员</t>
  </si>
  <si>
    <t>230126198905271162</t>
  </si>
  <si>
    <t>哈尔滨</t>
  </si>
  <si>
    <t>北京科技职业学院</t>
  </si>
  <si>
    <t>会计与审计</t>
  </si>
  <si>
    <t>liulijie527@126.com</t>
  </si>
  <si>
    <t>北京市朝阳区</t>
  </si>
  <si>
    <t>刘立影</t>
  </si>
  <si>
    <t>姐妹</t>
  </si>
  <si>
    <t>工作压力大</t>
  </si>
  <si>
    <t>蔡世</t>
  </si>
  <si>
    <t>总账会计</t>
  </si>
  <si>
    <t>460104198912071841</t>
  </si>
  <si>
    <t>海南省海口市秀英区公安分局</t>
  </si>
  <si>
    <t>中南财经政法大学</t>
  </si>
  <si>
    <t>财政学&amp;会计学</t>
  </si>
  <si>
    <t>657399448@qq.com</t>
  </si>
  <si>
    <t>北京市西城区人定湖北巷1号院2号楼5门401</t>
  </si>
  <si>
    <t>汪德伟</t>
  </si>
  <si>
    <t>朋友</t>
  </si>
  <si>
    <t>宋怡</t>
  </si>
  <si>
    <t>110108198504255428</t>
  </si>
  <si>
    <t>北京市海淀区景王坟2号楼二门1209</t>
  </si>
  <si>
    <t>北京机械工业学院</t>
  </si>
  <si>
    <t>153206267@qq.com</t>
  </si>
  <si>
    <t>北京市丰台区右安门外开阳里六区8号楼A门904</t>
  </si>
  <si>
    <t>宋常新</t>
  </si>
  <si>
    <t>2016.1转为全职实习生</t>
  </si>
  <si>
    <t>毛慧子</t>
  </si>
  <si>
    <t>330681199501081012</t>
  </si>
  <si>
    <t>浙江省诸暨市</t>
  </si>
  <si>
    <t>浙江省诸暨市暨阳街道环城北路6号2幢</t>
  </si>
  <si>
    <t>电子信息科学类</t>
  </si>
  <si>
    <t>ralphmao95@gmail.com</t>
  </si>
  <si>
    <t>毛根夫</t>
  </si>
  <si>
    <t>鲁逸沁</t>
  </si>
  <si>
    <t>330602199305101017</t>
  </si>
  <si>
    <t>北京市海淀区清华大学</t>
  </si>
  <si>
    <t>daaqing452@gmail.com</t>
  </si>
  <si>
    <t>北京市海淀区清华大学紫荆公寓二号楼</t>
  </si>
  <si>
    <t>陈小洪</t>
  </si>
  <si>
    <t>袁韬</t>
  </si>
  <si>
    <t>362301198612200031</t>
  </si>
  <si>
    <t>广东深圳</t>
  </si>
  <si>
    <t>yuanto1220@163.com</t>
  </si>
  <si>
    <t>北京市海淀区学清路逸成东苑</t>
  </si>
  <si>
    <t>孙一</t>
  </si>
  <si>
    <t>张洲同</t>
  </si>
  <si>
    <t>110108199404066317</t>
  </si>
  <si>
    <t>北京市海淀区西三旗育新家园65-708</t>
  </si>
  <si>
    <t>电子工程</t>
  </si>
  <si>
    <t>zzt12@mails.tsinghua.edu.cn</t>
  </si>
  <si>
    <t>北京市昌平区沙河高教园北街家园2区21-602</t>
  </si>
  <si>
    <t>张玉祥</t>
  </si>
  <si>
    <t>其父</t>
  </si>
  <si>
    <t>郑杨杨</t>
  </si>
  <si>
    <t>Sr.Solution Engineer</t>
  </si>
  <si>
    <t>411122198706185543</t>
  </si>
  <si>
    <t>河南省漯河市</t>
  </si>
  <si>
    <t>大连理工大学</t>
  </si>
  <si>
    <t>sunlightgirl888@163.com</t>
  </si>
  <si>
    <t>北京市朝阳区定福庄西街18号楼1008室</t>
  </si>
  <si>
    <t>杨静</t>
  </si>
  <si>
    <t>去Stanford读研</t>
  </si>
  <si>
    <t>夏斐</t>
  </si>
  <si>
    <t>320103199310072019</t>
  </si>
  <si>
    <t>江苏南京</t>
  </si>
  <si>
    <t>北京市海淀区清华园1号</t>
  </si>
  <si>
    <t>理科</t>
  </si>
  <si>
    <t>xf1280@gmail.com</t>
  </si>
  <si>
    <t>江苏省南京市苜蓿园大街29号22幢303</t>
  </si>
  <si>
    <t>夏保国</t>
  </si>
  <si>
    <t>出国读研</t>
  </si>
  <si>
    <t>易旻臻</t>
  </si>
  <si>
    <t>610104199412016128</t>
  </si>
  <si>
    <t>未生育</t>
  </si>
  <si>
    <t>自动化</t>
  </si>
  <si>
    <t>minzhenyi_thu@yeah.net</t>
  </si>
  <si>
    <t>清华大学海淀区公寓8号楼103B</t>
  </si>
  <si>
    <t>易宇昆</t>
  </si>
  <si>
    <t>张洵恺、夏斐</t>
  </si>
  <si>
    <t>出国读博</t>
  </si>
  <si>
    <t>宋佳铭</t>
  </si>
  <si>
    <t>230105199412120713</t>
  </si>
  <si>
    <t>黑龙江省哈尔滨市</t>
  </si>
  <si>
    <t>jiaming.tsong@gmail.com</t>
  </si>
  <si>
    <t>北京市海淀区清华大学紫荆公寓2号楼114B</t>
  </si>
  <si>
    <t>潘辉</t>
  </si>
  <si>
    <t>学校课程紧张</t>
  </si>
  <si>
    <t>余岳</t>
  </si>
  <si>
    <t>320102199611293214</t>
  </si>
  <si>
    <t>南京林业大学一村21幢606室</t>
  </si>
  <si>
    <t>yuyue@megvii.com</t>
  </si>
  <si>
    <t>njyuyue@126.com</t>
  </si>
  <si>
    <t>清华大学紫荆公寓2号楼217B</t>
  </si>
  <si>
    <t>宋淑鸿</t>
  </si>
  <si>
    <t>吕凯风</t>
  </si>
  <si>
    <t>研究生课程忙</t>
  </si>
  <si>
    <t>王昳晗</t>
  </si>
  <si>
    <t>Product-PD</t>
  </si>
  <si>
    <t>110105199407266518</t>
  </si>
  <si>
    <t>北京市宣武区红莲南路6号院5号楼1单元109号</t>
  </si>
  <si>
    <t>清华大学软件学院</t>
  </si>
  <si>
    <t>yihanwang22@163.com</t>
  </si>
  <si>
    <t>北京市海淀区清华大学紫荆公寓1号楼315B</t>
  </si>
  <si>
    <t>150830，从core-dev转入PD组</t>
  </si>
  <si>
    <t>付佩佩</t>
  </si>
  <si>
    <t>人力资源主管</t>
  </si>
  <si>
    <t>330327198905060964</t>
  </si>
  <si>
    <t>1989-05-06</t>
  </si>
  <si>
    <t>浙江苍南</t>
  </si>
  <si>
    <t>浙江省温州市苍南县宜山镇东河路97-2号</t>
  </si>
  <si>
    <t>11 外地城镇（省内市外）</t>
  </si>
  <si>
    <t>浙江工商大学</t>
  </si>
  <si>
    <t>人力资源管理</t>
  </si>
  <si>
    <t>fpp@kuangzhitech.com</t>
  </si>
  <si>
    <t>fpp1989@126.com</t>
  </si>
  <si>
    <t>浙江省杭州市下城区河东路3号1单元402室</t>
  </si>
  <si>
    <t>吴登相</t>
  </si>
  <si>
    <t>猎聘</t>
  </si>
  <si>
    <t>二战考研</t>
  </si>
  <si>
    <t>杨啖</t>
  </si>
  <si>
    <t>Develop-DevOps</t>
  </si>
  <si>
    <t>622224199503015010</t>
  </si>
  <si>
    <t>甘肃 临泽</t>
  </si>
  <si>
    <t>北京市海淀区北京邮电大学本科</t>
  </si>
  <si>
    <t>网络工程</t>
  </si>
  <si>
    <t>654125664@qq.com</t>
  </si>
  <si>
    <t>北京市海淀区北京邮电大学学五917</t>
  </si>
  <si>
    <t>杨天仁</t>
  </si>
  <si>
    <t>个人不适应</t>
  </si>
  <si>
    <t>戚世葛</t>
  </si>
  <si>
    <t>Product-Security BD</t>
  </si>
  <si>
    <t>410704198402250018</t>
  </si>
  <si>
    <t>杭州市滨江区江南大道100号 滨江区劳动社会保障局</t>
  </si>
  <si>
    <t>西安电子科技大学</t>
  </si>
  <si>
    <t>通信与信息系统</t>
  </si>
  <si>
    <t>754680646@qq.com</t>
  </si>
  <si>
    <t>无锡市滨湖区蠡湖大道融创熙园107栋1302号</t>
  </si>
  <si>
    <t>王习荣</t>
  </si>
  <si>
    <t>对做research方向迷茫，想停下来静一静</t>
  </si>
  <si>
    <t>33010519960528251X</t>
  </si>
  <si>
    <t>江苏海门</t>
  </si>
  <si>
    <t>fotile13@gmail.com</t>
  </si>
  <si>
    <t>清华大学紫荆学生公寓2#213A</t>
  </si>
  <si>
    <t>章娟</t>
  </si>
  <si>
    <t>去日本工作</t>
  </si>
  <si>
    <t>于佳</t>
  </si>
  <si>
    <t>429006199609262111</t>
  </si>
  <si>
    <t>湖北省天门市</t>
  </si>
  <si>
    <t>akovskiboy@gmail.com</t>
  </si>
  <si>
    <t>湖北省天门市横林镇于场村8组</t>
  </si>
  <si>
    <t>于明凯</t>
  </si>
  <si>
    <t>背调资金信用有问题</t>
  </si>
  <si>
    <t>王明远</t>
  </si>
  <si>
    <t>Operation</t>
  </si>
  <si>
    <t>采购经理</t>
  </si>
  <si>
    <t>120103198809293513</t>
  </si>
  <si>
    <t>天津市河西区广东路中裕园4-4-402</t>
  </si>
  <si>
    <t>电子科技大学</t>
  </si>
  <si>
    <t>电气工程及其自动化</t>
  </si>
  <si>
    <t>wangmingyuan@megvii.com</t>
  </si>
  <si>
    <t>uniquekingdom@126.com</t>
  </si>
  <si>
    <t>北京市朝阳区将台路芳园里13-5-83</t>
  </si>
  <si>
    <t>李丽</t>
  </si>
  <si>
    <t>墨迹风云（北京）软件科技发展有限公司</t>
  </si>
  <si>
    <t>何帆</t>
  </si>
  <si>
    <t>商务总监</t>
  </si>
  <si>
    <t>110106198409110017</t>
  </si>
  <si>
    <t>北京市丰台区丰台镇东安街头条18号5栋1号</t>
  </si>
  <si>
    <t>hefan@megvii.com</t>
  </si>
  <si>
    <t>he_eden@126.com</t>
  </si>
  <si>
    <t>北京市海淀区翠微路25号院2楼1门110</t>
  </si>
  <si>
    <t>桑晓琦</t>
  </si>
  <si>
    <t>公司结构调整</t>
  </si>
  <si>
    <t>车漾</t>
  </si>
  <si>
    <t>Develop-Infra</t>
  </si>
  <si>
    <t>220204198205020616</t>
  </si>
  <si>
    <t>吉林省吉林市</t>
  </si>
  <si>
    <t>昌平区回龙观镇龙跃苑小区东四区9号楼三单元601号</t>
  </si>
  <si>
    <t>运筹学与控制论</t>
  </si>
  <si>
    <t>cheyang@megvii.com</t>
  </si>
  <si>
    <t>cheyang@163.com</t>
  </si>
  <si>
    <t>张晓静</t>
  </si>
  <si>
    <t>马家祺</t>
  </si>
  <si>
    <t>130102199310142134</t>
  </si>
  <si>
    <t>北京市海淀区北京大学燕北园305甲205号</t>
  </si>
  <si>
    <t>自动化系</t>
  </si>
  <si>
    <t>majiaqi@megvii.com</t>
  </si>
  <si>
    <t>brucemjq@gmail.com</t>
  </si>
  <si>
    <t>北京市海淀区西二旗智学苑14号楼1303</t>
  </si>
  <si>
    <t>马文校</t>
  </si>
  <si>
    <t>132201199311151615</t>
  </si>
  <si>
    <t>河北</t>
  </si>
  <si>
    <t>北京大学信息科学技术学院</t>
  </si>
  <si>
    <t>yanxuecan@megvii.com</t>
  </si>
  <si>
    <t>yxcyanxuecan@163.com</t>
  </si>
  <si>
    <t>北京市海淀区颐和园路5号北京大学39楼616</t>
  </si>
  <si>
    <t>闫桂辰</t>
  </si>
  <si>
    <t>薛晓伟</t>
  </si>
  <si>
    <t>软件</t>
  </si>
  <si>
    <t>web工程师</t>
  </si>
  <si>
    <t>0年3个月</t>
  </si>
  <si>
    <t>36078219861110111X</t>
  </si>
  <si>
    <t>1986-11-10</t>
  </si>
  <si>
    <t>江西南康</t>
  </si>
  <si>
    <t>杭州市滨江区西兴街道</t>
  </si>
  <si>
    <t>10 本地城镇（主城区）</t>
  </si>
  <si>
    <t>西南大学</t>
  </si>
  <si>
    <t>地理信息系统</t>
  </si>
  <si>
    <t>18958067917</t>
  </si>
  <si>
    <t>xxw@kuangzhitech.com</t>
  </si>
  <si>
    <t>hsuehic@163.com</t>
  </si>
  <si>
    <t>江西省赣州市南康区东山街道官坑村</t>
  </si>
  <si>
    <t>薛晓松</t>
  </si>
  <si>
    <t>创业</t>
  </si>
  <si>
    <t>任少卿</t>
  </si>
  <si>
    <t>Research-Base Model</t>
  </si>
  <si>
    <t>Lead Reseacher</t>
  </si>
  <si>
    <t>340304198804020012</t>
  </si>
  <si>
    <t>安徽蚌埠</t>
  </si>
  <si>
    <t>安徽省蚌埠市</t>
  </si>
  <si>
    <t>电子信息科学</t>
  </si>
  <si>
    <t>renshaoqing@megvii.com</t>
  </si>
  <si>
    <t>sqren@mail.ustc.edu.cn</t>
  </si>
  <si>
    <t>北京市海淀区知春里17号楼406</t>
  </si>
  <si>
    <t>彭闱砚</t>
  </si>
  <si>
    <t>岑若虚</t>
  </si>
  <si>
    <t>330211199705100018</t>
  </si>
  <si>
    <t>浙江宁波</t>
  </si>
  <si>
    <t>交叉信息院</t>
  </si>
  <si>
    <t>cenruoxu@megvii.com</t>
  </si>
  <si>
    <t>bo@aliyun.com</t>
  </si>
  <si>
    <t>岑鹏麟</t>
  </si>
  <si>
    <t>桑伯男</t>
  </si>
  <si>
    <t>CSP-KAS</t>
  </si>
  <si>
    <t>资深咨询顾问</t>
  </si>
  <si>
    <t>110108198011037211</t>
  </si>
  <si>
    <t>吉林</t>
  </si>
  <si>
    <t>中关村南大街，国家气象局南区18号楼1单元132</t>
  </si>
  <si>
    <t>sbn@megvii.com</t>
  </si>
  <si>
    <t>bonansang@163.com</t>
  </si>
  <si>
    <t>王丽萍</t>
  </si>
  <si>
    <t>郭鹏飞</t>
  </si>
  <si>
    <t>西北区销售总监</t>
  </si>
  <si>
    <t>612103197602131019</t>
  </si>
  <si>
    <t>河北省沧州市</t>
  </si>
  <si>
    <t>陕西省西安市雁塔区</t>
  </si>
  <si>
    <t>中央广播电视大学</t>
  </si>
  <si>
    <t>gpf@megvii.com</t>
  </si>
  <si>
    <t>gg20150101@qq.com</t>
  </si>
  <si>
    <t>陕西省西安市雁塔区吉祥路168号豪盛时代华城8号楼2201室</t>
  </si>
  <si>
    <t>王瑾雅</t>
  </si>
  <si>
    <t>维护kaola，没有成就感，和朋友创业（游戏公司）</t>
  </si>
  <si>
    <t>张伟</t>
  </si>
  <si>
    <t>SSN-PD</t>
  </si>
  <si>
    <t>后端开发工程师</t>
  </si>
  <si>
    <t>36233019880110899X</t>
  </si>
  <si>
    <t>江西省上饶市鄱阳县乐丰镇桥南村113号</t>
  </si>
  <si>
    <t>zhangwei@megvii.com</t>
  </si>
  <si>
    <t>18618373702@163.com</t>
  </si>
  <si>
    <t>北京市海淀区学清路城华园7号楼4单元409</t>
  </si>
  <si>
    <t>董鑫</t>
  </si>
  <si>
    <t>没有通过试用期</t>
  </si>
  <si>
    <t>方媛</t>
  </si>
  <si>
    <t>210304198612251829</t>
  </si>
  <si>
    <t>辽宁省</t>
  </si>
  <si>
    <t>辽宁省鞍山市立山区</t>
  </si>
  <si>
    <t>辽宁工程技术大学</t>
  </si>
  <si>
    <t>fangyuan@megvii.com</t>
  </si>
  <si>
    <t>ffyy1225@126.com</t>
  </si>
  <si>
    <t>北京市昌平区回龙观</t>
  </si>
  <si>
    <t>腾桂珍</t>
  </si>
  <si>
    <t>刘寒冰</t>
  </si>
  <si>
    <t>0年10个月</t>
  </si>
  <si>
    <t>342221198212180031</t>
  </si>
  <si>
    <t>1982-12-18</t>
  </si>
  <si>
    <t>安徽省砀山县</t>
  </si>
  <si>
    <t>杭州市滨江区伟业路1号9幢</t>
  </si>
  <si>
    <t>大连海事大学</t>
  </si>
  <si>
    <t>13819180845</t>
  </si>
  <si>
    <t>lhb@kuangzhitech.com</t>
  </si>
  <si>
    <t>饶美春</t>
  </si>
  <si>
    <t>订单专员</t>
  </si>
  <si>
    <t>0年5个月</t>
  </si>
  <si>
    <t>330821198403154046</t>
  </si>
  <si>
    <t>1984-03-15</t>
  </si>
  <si>
    <t>浙江临安</t>
  </si>
  <si>
    <t>浙江省临安市昌化镇上营村上岭头52号</t>
  </si>
  <si>
    <t>英国伦敦大学-新加坡分院</t>
  </si>
  <si>
    <t>经济管理</t>
  </si>
  <si>
    <t>15068759573</t>
  </si>
  <si>
    <t>rmc@kuangzhitech.com</t>
  </si>
  <si>
    <t>raoqi577@163.com</t>
  </si>
  <si>
    <t>杭州市滨江区春波南苑55-1-402</t>
  </si>
  <si>
    <t>徐嵩</t>
  </si>
  <si>
    <t>韩辉</t>
  </si>
  <si>
    <t>0年4个月</t>
  </si>
  <si>
    <t>342401198812027933</t>
  </si>
  <si>
    <t>1988-12-02</t>
  </si>
  <si>
    <t>安微六安</t>
  </si>
  <si>
    <t>安徽六安</t>
  </si>
  <si>
    <t>12 外地城镇（省外）</t>
  </si>
  <si>
    <t>中南大学</t>
  </si>
  <si>
    <t>通信工程</t>
  </si>
  <si>
    <t>2009-6</t>
  </si>
  <si>
    <t>hh@kuangzhitech.com</t>
  </si>
  <si>
    <t>viphanhui_love@126.com</t>
  </si>
  <si>
    <t>杭州市上城区华藏寺巷</t>
  </si>
  <si>
    <t>韩太稳</t>
  </si>
  <si>
    <t>刘晓龙</t>
  </si>
  <si>
    <t>区域产品经理</t>
  </si>
  <si>
    <t>420222198705252835</t>
  </si>
  <si>
    <t>湖北省</t>
  </si>
  <si>
    <t>江苏省江阴市月城镇</t>
  </si>
  <si>
    <t>光电信息工程</t>
  </si>
  <si>
    <t>liuxiaolong@megvii.com</t>
  </si>
  <si>
    <t>lxlandzhou@163.com</t>
  </si>
  <si>
    <t>江苏省江阴市文定南路1号兴澄锦苑9栋801</t>
  </si>
  <si>
    <t>倪柳婷</t>
  </si>
  <si>
    <t>杨海舟</t>
  </si>
  <si>
    <t>330483198510051832</t>
  </si>
  <si>
    <t>1985-10-05</t>
  </si>
  <si>
    <t>浙江桐乡</t>
  </si>
  <si>
    <t>杭州市滨江区西兴街道古塘路6号</t>
  </si>
  <si>
    <t>yhz@kuangzhitech.com</t>
  </si>
  <si>
    <t>273964324@qq.com</t>
  </si>
  <si>
    <t>杭州市滨江区阡陌路新洲花苑18-2-701</t>
  </si>
  <si>
    <t>杨发民</t>
  </si>
  <si>
    <t>家属</t>
  </si>
  <si>
    <t>闫晶晶</t>
  </si>
  <si>
    <t>人事兼项目助理</t>
  </si>
  <si>
    <t>410901198410200629</t>
  </si>
  <si>
    <t>河南省濮阳市华龙区胜利东路四公司卫城3区14栋4单元2号</t>
  </si>
  <si>
    <t>中国石油大学（华东）</t>
  </si>
  <si>
    <t>yjj@megvii.com</t>
  </si>
  <si>
    <t>yjj99fly@126.com</t>
  </si>
  <si>
    <t>无锡市滨湖区昌兴国际金融大厦</t>
  </si>
  <si>
    <t>井宝珠</t>
  </si>
  <si>
    <t>收到MSRA实习offer，同时想集中精力参加校招。</t>
  </si>
  <si>
    <t>吕潇</t>
  </si>
  <si>
    <t>370102199203120313</t>
  </si>
  <si>
    <t>山东省济南市</t>
  </si>
  <si>
    <t>北京市海淀区颐和园路5号信息科学技术学院10级本科生宿舍</t>
  </si>
  <si>
    <t>2017/07</t>
  </si>
  <si>
    <t>lvxiao@megvii.com</t>
  </si>
  <si>
    <t>lvxiao312@gmail.com</t>
  </si>
  <si>
    <t>山东省济南市历下区二环东路7151号港澳花园2-2-401</t>
  </si>
  <si>
    <t>姚兰</t>
  </si>
  <si>
    <t xml:space="preserve">VMware </t>
  </si>
  <si>
    <t>李岩昊</t>
  </si>
  <si>
    <t>110108199602256330</t>
  </si>
  <si>
    <t>陕西榆林</t>
  </si>
  <si>
    <t>北京市海淀区新街口外大街19号励耘7号楼1105</t>
  </si>
  <si>
    <t>非农户口</t>
  </si>
  <si>
    <t>liyanhao@megvii.com</t>
  </si>
  <si>
    <t>eecs_lyh@pku.edu.cn</t>
  </si>
  <si>
    <t>北京市海淀区大柳树路2号北4号楼6单元302</t>
  </si>
  <si>
    <t>吴清</t>
  </si>
  <si>
    <t>学业重，导师不让实习</t>
  </si>
  <si>
    <t>安亮</t>
  </si>
  <si>
    <t>320721199412120056</t>
  </si>
  <si>
    <t>江苏省连云港市</t>
  </si>
  <si>
    <t>anliang@megvii.com</t>
  </si>
  <si>
    <t>anliang_13thu@163.com</t>
  </si>
  <si>
    <t>北京市海淀区清华大学紫荆学生公寓2号楼525B</t>
  </si>
  <si>
    <t>安明</t>
  </si>
  <si>
    <t>兄长</t>
  </si>
  <si>
    <t>能力有限</t>
  </si>
  <si>
    <t>张凯</t>
  </si>
  <si>
    <t>Technical Director</t>
  </si>
  <si>
    <t>62010419810605051X</t>
  </si>
  <si>
    <t>甘肃省兰州市</t>
  </si>
  <si>
    <t>北京市海淀区清河中街69号院力度家园5楼201</t>
  </si>
  <si>
    <t>zhangkai@megvii.com</t>
  </si>
  <si>
    <t>wsxiaozhang@gmail.com</t>
  </si>
  <si>
    <t>王絮宁</t>
  </si>
  <si>
    <t>妻</t>
  </si>
  <si>
    <t>卢艺帆</t>
  </si>
  <si>
    <t>42060619910919601X</t>
  </si>
  <si>
    <t>湖北省潜江市</t>
  </si>
  <si>
    <t>luyifan@megvii.com</t>
  </si>
  <si>
    <t>460414661@qq.com</t>
  </si>
  <si>
    <t>湖北省潜江市江汉油田向阳建设路1号18栋</t>
  </si>
  <si>
    <t>曹敏</t>
  </si>
  <si>
    <t>陈阳洋</t>
  </si>
  <si>
    <t>450305199602191012</t>
  </si>
  <si>
    <t>广西桂林市</t>
  </si>
  <si>
    <t>北京化工大学</t>
  </si>
  <si>
    <t>应用化学</t>
  </si>
  <si>
    <t>chenyangyang@megvii.com</t>
  </si>
  <si>
    <t>salamer_gaga@163.com</t>
  </si>
  <si>
    <t>广西壮族自治区桂林市七星区会仙路18号新天地小区2栋2单元902室</t>
  </si>
  <si>
    <t>陈军</t>
  </si>
  <si>
    <t>马欣宇</t>
  </si>
  <si>
    <t>Finance</t>
  </si>
  <si>
    <t>642221199304051275</t>
  </si>
  <si>
    <t>宁夏固原</t>
  </si>
  <si>
    <t>宁夏固原原州区三营镇代堡村七组号</t>
  </si>
  <si>
    <t>中央财经大学</t>
  </si>
  <si>
    <t>财政学</t>
  </si>
  <si>
    <t>maxinyu@megvii.com</t>
  </si>
  <si>
    <t>245399267@qq.com</t>
  </si>
  <si>
    <t>中央财经大学（沙河校区）</t>
  </si>
  <si>
    <t>尹兴林</t>
  </si>
  <si>
    <t>个人寻找新方向</t>
  </si>
  <si>
    <t>余秋燕</t>
  </si>
  <si>
    <t>Develop-IP</t>
  </si>
  <si>
    <t>专利工程师</t>
  </si>
  <si>
    <t>532129198903052320</t>
  </si>
  <si>
    <t>云南省</t>
  </si>
  <si>
    <t>云南省昭通市彝良县小草坝</t>
  </si>
  <si>
    <t>北京信息科技大学</t>
  </si>
  <si>
    <t>光信息科学与技术</t>
  </si>
  <si>
    <t>yqy@megvii.com</t>
  </si>
  <si>
    <t>398017530@qq.com</t>
  </si>
  <si>
    <t>北京市昌平区沙河镇顺沙路8号院巩华家园南一村5号楼2单元301</t>
  </si>
  <si>
    <t>暂时checkout，已发校招offer，未来还会回来实习</t>
  </si>
  <si>
    <t>余一夫</t>
  </si>
  <si>
    <t>510105199507032019</t>
  </si>
  <si>
    <t>四川省安岳县</t>
  </si>
  <si>
    <t>上海市杨浦区邯郸路220号复旦大学</t>
  </si>
  <si>
    <t>yuyifu@megvii.com</t>
  </si>
  <si>
    <t>root@jackyyf.com</t>
  </si>
  <si>
    <t>四川省成都市武侯区致民东路18号1栋17楼10号</t>
  </si>
  <si>
    <t>余迪意</t>
  </si>
  <si>
    <t>大四毕业，找工作（我司表现一般，无offer）</t>
  </si>
  <si>
    <t>苏航</t>
  </si>
  <si>
    <t>511527199408201615</t>
  </si>
  <si>
    <t>浙江省绍兴县柯桥街道万商路758号</t>
  </si>
  <si>
    <t>复旦大学计算机学院</t>
  </si>
  <si>
    <t>计算机技术与科学</t>
  </si>
  <si>
    <t>suhang@megvii.com</t>
  </si>
  <si>
    <t>suhang1994@gmail.com</t>
  </si>
  <si>
    <t>廖元香</t>
  </si>
  <si>
    <t>转专业，学校课程紧张</t>
  </si>
  <si>
    <t>庄天翼</t>
  </si>
  <si>
    <t>310104199608266857</t>
  </si>
  <si>
    <t>江苏省</t>
  </si>
  <si>
    <t>上海市徐汇区南丹路189弄2号403室</t>
  </si>
  <si>
    <t>zhuangtianyi@megvii.com</t>
  </si>
  <si>
    <t>zty0826@gmail.com</t>
  </si>
  <si>
    <t>上海市闵行区张红璐125弄21号401室</t>
  </si>
  <si>
    <t>陈英姿</t>
  </si>
  <si>
    <t>刘书宏</t>
  </si>
  <si>
    <t>人力资源经理</t>
  </si>
  <si>
    <t>370602198109120029</t>
  </si>
  <si>
    <t>1981-09-12</t>
  </si>
  <si>
    <t>山东海阳</t>
  </si>
  <si>
    <t>杭州市西湖区文三路199号227室</t>
  </si>
  <si>
    <t>心理学</t>
  </si>
  <si>
    <t>18101332803</t>
  </si>
  <si>
    <t>lsh@kuangzhitech.com</t>
  </si>
  <si>
    <t>杭州市滨江区盛元慧谷1603</t>
  </si>
  <si>
    <t>杨至轩</t>
  </si>
  <si>
    <t>500239199509028037</t>
  </si>
  <si>
    <t>土家族</t>
  </si>
  <si>
    <t>重庆</t>
  </si>
  <si>
    <t>北京市海淀区颐和园路5号北京大学13级信息科学技术学院本科生宿舍</t>
  </si>
  <si>
    <t>yangzhixuan@megvii.com</t>
  </si>
  <si>
    <t>zxyang@pku.edu.cn</t>
  </si>
  <si>
    <t>北京市海淀区北京大学46楼2104室</t>
  </si>
  <si>
    <t>隆节</t>
  </si>
  <si>
    <t>王子云</t>
  </si>
  <si>
    <t>510108199601220015</t>
  </si>
  <si>
    <t>四川省成都市</t>
  </si>
  <si>
    <t>北京市海淀区清华大学水利系</t>
  </si>
  <si>
    <t>wangziyun@megvii.com</t>
  </si>
  <si>
    <t>wang-zy14@mails.tsinghua.edu.cn</t>
  </si>
  <si>
    <t>北京市海淀区清华大学紫荆公寓2号楼219B</t>
  </si>
  <si>
    <t>林洁</t>
  </si>
  <si>
    <t>陈鹏</t>
  </si>
  <si>
    <t>测试工程师</t>
  </si>
  <si>
    <t>411102199005150275</t>
  </si>
  <si>
    <t>河南省漯河市南关村</t>
  </si>
  <si>
    <t>河南理工大学</t>
  </si>
  <si>
    <t>chenpeng@megvii.com</t>
  </si>
  <si>
    <t>307141950@163.com</t>
  </si>
  <si>
    <t>河南省漯河市南关村龙翔家园</t>
  </si>
  <si>
    <t>陈乐</t>
  </si>
  <si>
    <t>姐姐</t>
  </si>
  <si>
    <t>毕业已签约别的公司</t>
  </si>
  <si>
    <t>李超</t>
  </si>
  <si>
    <t>330106199404220415</t>
  </si>
  <si>
    <t>lichao@megvii.com</t>
  </si>
  <si>
    <t>xxxlichao@126.com</t>
  </si>
  <si>
    <t>北京大学39#630</t>
  </si>
  <si>
    <t>李建华</t>
  </si>
  <si>
    <t>实验室老师不放人</t>
  </si>
  <si>
    <t>王媛媛</t>
  </si>
  <si>
    <t>410823199209010142</t>
  </si>
  <si>
    <t>河南省焦作市</t>
  </si>
  <si>
    <t>北京市海淀区中关村南大街5号北京理工大学</t>
  </si>
  <si>
    <t>化学</t>
  </si>
  <si>
    <t>wangyuanyuan@megvii.com</t>
  </si>
  <si>
    <t>wangyuanyuan1127@163.com</t>
  </si>
  <si>
    <t>北京市房山区良乡高教园区北京理工大学</t>
  </si>
  <si>
    <t>王文杰</t>
  </si>
  <si>
    <t>丁娇</t>
  </si>
  <si>
    <t>SSN-Security-BD</t>
  </si>
  <si>
    <t>320283199010131862</t>
  </si>
  <si>
    <t>江苏省无锡市锡山区东北塘街道梓旺小区69幢301室</t>
  </si>
  <si>
    <t>电气工程与自动化</t>
  </si>
  <si>
    <t>dingjiao@megvii.com</t>
  </si>
  <si>
    <t>dingjiao1013@163.com</t>
  </si>
  <si>
    <t>江苏省无锡市锡山区东北塘街道梓旺小区69幢301、302室</t>
  </si>
  <si>
    <t>过振英</t>
  </si>
  <si>
    <t>出国留学</t>
  </si>
  <si>
    <t>余家辉</t>
  </si>
  <si>
    <t>330282199511153678</t>
  </si>
  <si>
    <t>浙江慈溪</t>
  </si>
  <si>
    <t>浙江省慈溪市</t>
  </si>
  <si>
    <t>yjh@megvii.com</t>
  </si>
  <si>
    <t>yjh199511@gmail.com</t>
  </si>
  <si>
    <t>浙江省慈溪市桥头镇桥头路116弄1号</t>
  </si>
  <si>
    <t>余建尧</t>
  </si>
  <si>
    <t>胡鹤翔</t>
  </si>
  <si>
    <t>330302199207030415</t>
  </si>
  <si>
    <t>huhexiang@megvii.com</t>
  </si>
  <si>
    <t>frank.hexiang@gmail.com</t>
  </si>
  <si>
    <t>浙江省杭州市拱墅区祥符街道方家北路保利香槟国际6幢2203室</t>
  </si>
  <si>
    <t>胡培弟</t>
  </si>
  <si>
    <t>王鉴浩</t>
  </si>
  <si>
    <t>330602199702040510</t>
  </si>
  <si>
    <t>浙江绍兴</t>
  </si>
  <si>
    <t>wangjianhao@megvii.com</t>
  </si>
  <si>
    <t>1040594377@qq.com</t>
  </si>
  <si>
    <t>北京清华大学紫荆公寓2栋215A</t>
  </si>
  <si>
    <t>徐桃英</t>
  </si>
  <si>
    <t>吕凯峰</t>
  </si>
  <si>
    <t>黄涛岸</t>
  </si>
  <si>
    <t>350203199610152310</t>
  </si>
  <si>
    <t>福建省厦门市</t>
  </si>
  <si>
    <t>huangtaoan@megvii.com</t>
  </si>
  <si>
    <t>huangtaoan@163.com</t>
  </si>
  <si>
    <t>福建省厦门市思明区厦门大学海韵北区172-1802</t>
  </si>
  <si>
    <t>李亚妹</t>
  </si>
  <si>
    <t>陈睿</t>
  </si>
  <si>
    <t>370502199505013216</t>
  </si>
  <si>
    <t>chenrui@megvii.com</t>
  </si>
  <si>
    <t>chenrui9551@foxmail.com</t>
  </si>
  <si>
    <t>北京市海淀区颐和园路5号北京大学46楼2080</t>
  </si>
  <si>
    <t>陈国军</t>
  </si>
  <si>
    <t>梁健楠</t>
  </si>
  <si>
    <t>442000199111275475</t>
  </si>
  <si>
    <t>广东中山</t>
  </si>
  <si>
    <t>广东省中山市小榄镇长龙北巷16号</t>
  </si>
  <si>
    <t>liangjiannan@megvii.com</t>
  </si>
  <si>
    <t>ljnanest@gmail.com</t>
  </si>
  <si>
    <t>黎淑芳</t>
  </si>
  <si>
    <t>个人不适应公司节奏，很疲惫，希望换种方式调节</t>
  </si>
  <si>
    <t>谢明</t>
  </si>
  <si>
    <t>110102197612222719</t>
  </si>
  <si>
    <t>北京市海淀区西三环北路105号院27楼1门308号</t>
  </si>
  <si>
    <t>北方交通大学电信学院</t>
  </si>
  <si>
    <t>无线通信</t>
  </si>
  <si>
    <t>xieming@megvii.com</t>
  </si>
  <si>
    <t>ming_3191@163.com</t>
  </si>
  <si>
    <t>戴京</t>
  </si>
  <si>
    <t>何艺</t>
  </si>
  <si>
    <t>421123199101117698</t>
  </si>
  <si>
    <t>湖北黄冈</t>
  </si>
  <si>
    <t>heyi@megvii.com</t>
  </si>
  <si>
    <t>clangllvm@126.com</t>
  </si>
  <si>
    <t>湖北省武汉市保利茉莉公馆1-1-301</t>
  </si>
  <si>
    <t>何先生</t>
  </si>
  <si>
    <t>网易游戏</t>
  </si>
  <si>
    <t>刘娜</t>
  </si>
  <si>
    <t>财务经理</t>
  </si>
  <si>
    <t>13062319811027302X</t>
  </si>
  <si>
    <t>河北省保定市</t>
  </si>
  <si>
    <t>天津市河西区</t>
  </si>
  <si>
    <t>天津财经大学</t>
  </si>
  <si>
    <t>金融&amp;会计</t>
  </si>
  <si>
    <t>liuna@megvii.com</t>
  </si>
  <si>
    <t>18600405021@163.com</t>
  </si>
  <si>
    <t>北京市海淀区龙岗路25号安居里5号楼2单元1003</t>
  </si>
  <si>
    <t>申东生</t>
  </si>
  <si>
    <t>寻找新的个人方向</t>
  </si>
  <si>
    <t>何涛</t>
  </si>
  <si>
    <t>130281198909124115</t>
  </si>
  <si>
    <t>河北唐山</t>
  </si>
  <si>
    <t>hetao@megvii.com</t>
  </si>
  <si>
    <t>hetaott@gmail.com</t>
  </si>
  <si>
    <t>北京回龙观</t>
  </si>
  <si>
    <t>陈鑫</t>
  </si>
  <si>
    <t>姐弟</t>
  </si>
  <si>
    <t>2016/3/1从旷视转签小孔，上次合同期限：2014/3/1-20116/2/29</t>
  </si>
  <si>
    <t>张琼</t>
  </si>
  <si>
    <t>411303199302283717</t>
  </si>
  <si>
    <t>河南省南阳市</t>
  </si>
  <si>
    <t>河南省南阳市卧龙区龙兴乡周沟村</t>
  </si>
  <si>
    <t>zhangqiong@megvii.com</t>
  </si>
  <si>
    <t>jasminetion@126.com</t>
  </si>
  <si>
    <t>北京市海淀区西土城路10号</t>
  </si>
  <si>
    <t>龚拓宇</t>
  </si>
  <si>
    <t>Research</t>
  </si>
  <si>
    <t>330282199409140010</t>
  </si>
  <si>
    <t>浙江省慈溪市白沙路街道墙里村南张家</t>
  </si>
  <si>
    <t>gty@megvii.com</t>
  </si>
  <si>
    <t>329675090@qq.com</t>
  </si>
  <si>
    <t>浙江省慈溪市浒山街道金山新村38号楼201室</t>
  </si>
  <si>
    <t>施韶韵</t>
  </si>
  <si>
    <t>公司名气不够+自己薪资不高，拿到百度医生offer</t>
  </si>
  <si>
    <t>卢美灼</t>
  </si>
  <si>
    <t>CSP-QA</t>
  </si>
  <si>
    <t>231024199103111017</t>
  </si>
  <si>
    <t>山东省莱芜市</t>
  </si>
  <si>
    <t>黑龙江省牡丹江市东宁县</t>
  </si>
  <si>
    <t>数学与应用数学</t>
  </si>
  <si>
    <t>lmz@megvii.com</t>
  </si>
  <si>
    <t>lmz2932@126.com</t>
  </si>
  <si>
    <t>海淀区北分厂家属区17栋-2单元-302</t>
  </si>
  <si>
    <t>田书贞</t>
  </si>
  <si>
    <t>长期不服从公司工作安排</t>
  </si>
  <si>
    <t>工作态度</t>
  </si>
  <si>
    <t>梁庆</t>
  </si>
  <si>
    <t>SSN-Security-PMO</t>
  </si>
  <si>
    <t>售前支持</t>
  </si>
  <si>
    <t>330327199212070013</t>
  </si>
  <si>
    <t>浙江省苍南县灵溪镇家堡村</t>
  </si>
  <si>
    <t>浙江大学宁波理工学院</t>
  </si>
  <si>
    <t>机械设计制造及其自动化</t>
  </si>
  <si>
    <t>lq@megvii.com.com</t>
  </si>
  <si>
    <t>414433255@qq.com</t>
  </si>
  <si>
    <t>浙江省苍南县灵溪镇建新东路273号</t>
  </si>
  <si>
    <t>刘小宾</t>
  </si>
  <si>
    <t>没过试用期</t>
  </si>
  <si>
    <t>刘宏伟</t>
  </si>
  <si>
    <t>系统安全工程师</t>
  </si>
  <si>
    <t>622425199009063815</t>
  </si>
  <si>
    <t>甘肃陇西</t>
  </si>
  <si>
    <t>甘肃省陇西县渭阳乡云田派出所</t>
  </si>
  <si>
    <t>西安邮电大学</t>
  </si>
  <si>
    <t>liuhongwei@megvii.com</t>
  </si>
  <si>
    <t>123liuhongwei@163.com</t>
  </si>
  <si>
    <t>北京市昌平区回龙观地区金域华府3号楼1单元404室</t>
  </si>
  <si>
    <t>刘兆玺</t>
  </si>
  <si>
    <t>卫国扬</t>
  </si>
  <si>
    <t>Develop-Infra-label</t>
  </si>
  <si>
    <t>142723199610220016</t>
  </si>
  <si>
    <t>山西省</t>
  </si>
  <si>
    <t>山西省芮城县古魏镇</t>
  </si>
  <si>
    <t>weiguoyang@megvii.com</t>
  </si>
  <si>
    <t>weiguoyang14@163.com</t>
  </si>
  <si>
    <t>北京市海淀区清华大学紫荆公寓1＃412</t>
  </si>
  <si>
    <t>卫银波</t>
  </si>
  <si>
    <t>杨际陶</t>
  </si>
  <si>
    <t>Marketing-Branding</t>
  </si>
  <si>
    <t>220106199602128622</t>
  </si>
  <si>
    <t>满</t>
  </si>
  <si>
    <t>北京市海淀区颐和园路五号北京大学</t>
  </si>
  <si>
    <t>yangjitao@megvii.com</t>
  </si>
  <si>
    <t>18811185006@163.com</t>
  </si>
  <si>
    <t>北京市朝阳区东四环北路观湖国际</t>
  </si>
  <si>
    <t>吴限</t>
  </si>
  <si>
    <t>国家开发银行总行</t>
  </si>
  <si>
    <t>长期加班</t>
  </si>
  <si>
    <t>宁丽洁</t>
  </si>
  <si>
    <t>收入成本会计</t>
  </si>
  <si>
    <t>140522198606046226</t>
  </si>
  <si>
    <t>山西省晋城市</t>
  </si>
  <si>
    <t>山西省晋城市阳城县</t>
  </si>
  <si>
    <t>吉林工程技术师范学院</t>
  </si>
  <si>
    <t>财务管理</t>
  </si>
  <si>
    <t>ninglijie@megvii.com</t>
  </si>
  <si>
    <t>ninglijie1986@126.com</t>
  </si>
  <si>
    <t>北京市丰台区方庄紫芳园一区6号楼6单元301</t>
  </si>
  <si>
    <t>乐利峰</t>
  </si>
  <si>
    <t>兄妹</t>
  </si>
  <si>
    <t>出门问问</t>
  </si>
  <si>
    <t>汤建明</t>
  </si>
  <si>
    <t>Finance Head</t>
  </si>
  <si>
    <t>612101197808030210</t>
  </si>
  <si>
    <t>北京朝阳区</t>
  </si>
  <si>
    <t>中国人民大学</t>
  </si>
  <si>
    <t>MBA</t>
  </si>
  <si>
    <t>tjm@megvii.com</t>
  </si>
  <si>
    <t>tang300@163.com</t>
  </si>
  <si>
    <t>北京朝阳区望京</t>
  </si>
  <si>
    <t>张晓聪</t>
  </si>
  <si>
    <t>浮躁急进且适应度极低，自身也失去信心</t>
  </si>
  <si>
    <t>冯超</t>
  </si>
  <si>
    <t>371482198802102656</t>
  </si>
  <si>
    <t>山东省禹城市</t>
  </si>
  <si>
    <t>高中</t>
  </si>
  <si>
    <t>禹城一中</t>
  </si>
  <si>
    <t>fengchao@megvii.com</t>
  </si>
  <si>
    <t>fengchaosql@163.com</t>
  </si>
  <si>
    <t>杭州市天目山西路宏丰家具</t>
  </si>
  <si>
    <t>李秋梅</t>
  </si>
  <si>
    <t>聚光科技</t>
  </si>
  <si>
    <t>工作重大失误，无业绩</t>
  </si>
  <si>
    <t>姜金宝</t>
  </si>
  <si>
    <t>沈阳</t>
  </si>
  <si>
    <t>0年2个月</t>
  </si>
  <si>
    <t>230621199005202778</t>
  </si>
  <si>
    <t>黑龙江省肇州县</t>
  </si>
  <si>
    <t>黑龙江省肇州县朝阳乡向阳村褚家屯</t>
  </si>
  <si>
    <t>辽宁装备制造职业技术学院</t>
  </si>
  <si>
    <t>17702447521</t>
  </si>
  <si>
    <t>jjb@megvii.com.com</t>
  </si>
  <si>
    <t>294446169@qq.com</t>
  </si>
  <si>
    <t>辽宁省沈阳市沈河区北二经街73号132</t>
  </si>
  <si>
    <t>姜成付</t>
  </si>
  <si>
    <t>陈聂</t>
  </si>
  <si>
    <t>无工作状态、业绩贡献</t>
  </si>
  <si>
    <t>沈晓杰</t>
  </si>
  <si>
    <t>0年6个月</t>
  </si>
  <si>
    <t>330481198311141218</t>
  </si>
  <si>
    <t>浙江海宁</t>
  </si>
  <si>
    <t>杭州市西湖区文三路199号</t>
  </si>
  <si>
    <t>浙江工业大学</t>
  </si>
  <si>
    <t>sxj@megvii.com.com</t>
  </si>
  <si>
    <t>shenxj520@126.com</t>
  </si>
  <si>
    <t>杭州市西湖区政苑小区23-2-201</t>
  </si>
  <si>
    <t>潘霞</t>
  </si>
  <si>
    <t>Gap Year结束，回StandFord继续读书</t>
  </si>
  <si>
    <t>李雨田</t>
  </si>
  <si>
    <t>Develop-Infra-Brain++ Platform</t>
  </si>
  <si>
    <t>Engineer</t>
  </si>
  <si>
    <t>430102199205162038</t>
  </si>
  <si>
    <t>北京市海淀区清华园1号理学院</t>
  </si>
  <si>
    <t>lyt@megvii.com</t>
  </si>
  <si>
    <t>hotpxless@gmail.com</t>
  </si>
  <si>
    <t>北京市海淀区清华大学紫荆二号楼615A</t>
  </si>
  <si>
    <t>李玉新</t>
  </si>
  <si>
    <t>2015-9-11checkout去斯坦福，12.31回来正式入职</t>
  </si>
  <si>
    <t>李晨光</t>
  </si>
  <si>
    <t>SSN-Commercial-BD</t>
  </si>
  <si>
    <t>相机光电工程师</t>
  </si>
  <si>
    <t>410702198409200512</t>
  </si>
  <si>
    <t>河南新乡</t>
  </si>
  <si>
    <t>北京市顺义区机场东路6号院9号楼3门102</t>
  </si>
  <si>
    <t>lcg@megvii.com</t>
  </si>
  <si>
    <t>568409226@qq.com</t>
  </si>
  <si>
    <t>吴文静</t>
  </si>
  <si>
    <t>2016/3/1从小孔转签旷视，第一次合同期限：2014/4/11-2016/4/10</t>
  </si>
  <si>
    <t>刘研绎</t>
  </si>
  <si>
    <t>450104199801291510</t>
  </si>
  <si>
    <t>湖南省耒阳市</t>
  </si>
  <si>
    <t>liuyanyi@megvii.com</t>
  </si>
  <si>
    <t>315603442@qq.com</t>
  </si>
  <si>
    <t>北京市海淀区清华大学紫荆公寓2号楼</t>
  </si>
  <si>
    <t>刘龙武</t>
  </si>
  <si>
    <t>陈胤伯</t>
  </si>
  <si>
    <t>430103199610230010</t>
  </si>
  <si>
    <t>湖南省长沙市</t>
  </si>
  <si>
    <t>chenyinbo@megvii.com</t>
  </si>
  <si>
    <t>454024613@qq.com</t>
  </si>
  <si>
    <t>湖南省长沙市省高速公路管理局</t>
  </si>
  <si>
    <t>陈政</t>
  </si>
  <si>
    <t>汪霄</t>
  </si>
  <si>
    <t>411522199405014536</t>
  </si>
  <si>
    <t>北京市海淀区清华园1号电子系</t>
  </si>
  <si>
    <t>wangxiao@megvii.com</t>
  </si>
  <si>
    <t>xwang15@mails.tsinghua.edu.cn</t>
  </si>
  <si>
    <t>北京市海淀区清华大学学生公寓24号楼</t>
  </si>
  <si>
    <t>汪大军</t>
  </si>
  <si>
    <t>SNG-Security-Sales</t>
  </si>
  <si>
    <t>520103198005066715</t>
  </si>
  <si>
    <t>修文</t>
  </si>
  <si>
    <t>贵州省贵阳市云岩区白云大道201号28栋2单元2号</t>
  </si>
  <si>
    <t>吉林大学</t>
  </si>
  <si>
    <t>chennie@megvii.com.com</t>
  </si>
  <si>
    <t>10804195@qq.com</t>
  </si>
  <si>
    <t>陈元吉</t>
  </si>
  <si>
    <t>李春杰</t>
  </si>
  <si>
    <t>高级专利工程师</t>
  </si>
  <si>
    <t>13262719810907002x</t>
  </si>
  <si>
    <t>河北省承德市</t>
  </si>
  <si>
    <t>北京市朝阳区安华里三区10号楼207</t>
  </si>
  <si>
    <t>信号与信息处理</t>
  </si>
  <si>
    <t>lcj@megvii.com</t>
  </si>
  <si>
    <t>morgenlee@163.com</t>
  </si>
  <si>
    <t>李军</t>
  </si>
  <si>
    <t>起树彬</t>
  </si>
  <si>
    <t>53232419941110006X</t>
  </si>
  <si>
    <t>彝族</t>
  </si>
  <si>
    <t>云南省楚雄市</t>
  </si>
  <si>
    <t>北京林业大学</t>
  </si>
  <si>
    <t>qishubin@megvii.com</t>
  </si>
  <si>
    <t>ashley_qi@qq.com</t>
  </si>
  <si>
    <t>北京市海淀区清华东路35号北京林业大学</t>
  </si>
  <si>
    <t>贾倩楠</t>
  </si>
  <si>
    <t>蒋勤辉</t>
  </si>
  <si>
    <t>海航云端文化传媒（北京）有限公司</t>
  </si>
  <si>
    <t>回老家</t>
  </si>
  <si>
    <t>谢佩博</t>
  </si>
  <si>
    <t>SSN-Security-Tech</t>
  </si>
  <si>
    <t>410482198511023917</t>
  </si>
  <si>
    <t>河南汝州</t>
  </si>
  <si>
    <t>陕西省西安市长安路北段5号付2号</t>
  </si>
  <si>
    <t>xiepeibo@megvii.com</t>
  </si>
  <si>
    <t>peiboxie@gmail.com</t>
  </si>
  <si>
    <t>江苏省无锡市滨湖区海岸城馨园34单元1302室</t>
  </si>
  <si>
    <t>刘璐</t>
  </si>
  <si>
    <t>情侣</t>
  </si>
  <si>
    <t>团队合作精神的缺乏、工作结果无法达标</t>
  </si>
  <si>
    <t>程凯</t>
  </si>
  <si>
    <t>SNG-Security-Tech</t>
  </si>
  <si>
    <t>硬件工程师</t>
  </si>
  <si>
    <t>410822198705065512</t>
  </si>
  <si>
    <t>河南省博爱县</t>
  </si>
  <si>
    <t>解放军信息工程大学</t>
  </si>
  <si>
    <t>chenkai@megvii.com.com</t>
  </si>
  <si>
    <t>925223478@qq.com</t>
  </si>
  <si>
    <t>杭州市滨江区临江花园</t>
  </si>
  <si>
    <t>刘晓洋</t>
  </si>
  <si>
    <t>杜志强</t>
  </si>
  <si>
    <t>620421198809131634</t>
  </si>
  <si>
    <t>甘肃靖远</t>
  </si>
  <si>
    <t>甘肃省靖远县北湾镇</t>
  </si>
  <si>
    <t xml:space="preserve"> 计算机系</t>
  </si>
  <si>
    <t>duzhiqiang@megvii.com</t>
  </si>
  <si>
    <t>duzhiqiang07@gmail.com</t>
  </si>
  <si>
    <t>北京市海淀区西二旗燕尚园7号楼2单元502</t>
  </si>
  <si>
    <t>师振英</t>
  </si>
  <si>
    <t>42011119960928401X</t>
  </si>
  <si>
    <t>湖北省武汉市</t>
  </si>
  <si>
    <t>湖北省武汉市江岸区惠济路41号11栋2单元3楼302号</t>
  </si>
  <si>
    <t>lvkaifeng@megvii.com</t>
  </si>
  <si>
    <t>vfleaking@163.com</t>
  </si>
  <si>
    <t>湖北省武汉市江岸区外滩棕榈泉小区5栋2504</t>
  </si>
  <si>
    <t>231004199411250021</t>
  </si>
  <si>
    <t>黑龙江省牡丹江市爱民区</t>
  </si>
  <si>
    <t>哈尔滨理工大学</t>
  </si>
  <si>
    <t>382046116@qq.com</t>
  </si>
  <si>
    <t>黑龙江省牡丹江市爱民区曙光新城小区</t>
  </si>
  <si>
    <t>陈露</t>
  </si>
  <si>
    <t>牡丹江市爱民区委宣传部</t>
  </si>
  <si>
    <t>试用期未通过考核</t>
  </si>
  <si>
    <t>贾志鹏</t>
  </si>
  <si>
    <t>公共服务业务</t>
  </si>
  <si>
    <t>PSG-GD</t>
  </si>
  <si>
    <t>政府关系总监</t>
  </si>
  <si>
    <t>14022119830118131X</t>
  </si>
  <si>
    <t>山西省大同市</t>
  </si>
  <si>
    <t>北京市朝阳市小营北路23号院3号楼2308号</t>
  </si>
  <si>
    <t>清华大学电子工程系</t>
  </si>
  <si>
    <t>信息与通信工程</t>
  </si>
  <si>
    <t>jiazhipeng@megvii.com</t>
  </si>
  <si>
    <t>38046974@qq.com</t>
  </si>
  <si>
    <t>北京市朝阳市小营北路23号院紫薇天悦小区3号楼2308号</t>
  </si>
  <si>
    <t>叶爱萍</t>
  </si>
  <si>
    <t>温亮亮</t>
  </si>
  <si>
    <t>中国信息通信研究院</t>
  </si>
  <si>
    <t>沈志阳</t>
  </si>
  <si>
    <t>330501198810128652</t>
  </si>
  <si>
    <t>湖州</t>
  </si>
  <si>
    <t>浙江省湖州市南浔区和孚镇双福桥村南洋兜70号</t>
  </si>
  <si>
    <t>shenzhiyang@megvii.com.com</t>
  </si>
  <si>
    <t>695397085@qq.com</t>
  </si>
  <si>
    <t>杭州市江干区下沙保利玫瑰湾5幢1401室</t>
  </si>
  <si>
    <t>韩清清</t>
  </si>
  <si>
    <t>媳妇怀孕，需主导家中装修</t>
  </si>
  <si>
    <t>高蕾</t>
  </si>
  <si>
    <t>智能物联业务群组-安防业务销售部</t>
  </si>
  <si>
    <t>34122219850509655X</t>
  </si>
  <si>
    <t>新疆石河子市石总场</t>
  </si>
  <si>
    <t>塔里木大学</t>
  </si>
  <si>
    <t>gaolei@megvii.com</t>
  </si>
  <si>
    <t>568889326@qq.com</t>
  </si>
  <si>
    <t>浙江杭州市余杭区宝塔星苑133号</t>
  </si>
  <si>
    <t>谢宽玉</t>
  </si>
  <si>
    <t>杭州悉尔科技有限公司</t>
  </si>
  <si>
    <t>王小星</t>
  </si>
  <si>
    <t>41060319900411251X</t>
  </si>
  <si>
    <t>河南汤阴</t>
  </si>
  <si>
    <t>杭州市滨江区古塘路6号</t>
  </si>
  <si>
    <t>江苏自动化研究所</t>
  </si>
  <si>
    <t>系统工程</t>
  </si>
  <si>
    <t>wangxiaoxing@megvii.com.com</t>
  </si>
  <si>
    <t>hbgzwxx@126.com</t>
  </si>
  <si>
    <t>杭州市滨江区迎春南苑25-1-503</t>
  </si>
  <si>
    <t>张青叶</t>
  </si>
  <si>
    <t>吕知轩</t>
  </si>
  <si>
    <t>运营部-法务部</t>
  </si>
  <si>
    <t>110102199701080416</t>
  </si>
  <si>
    <t>北京市海淀区定慧西里8号楼707#</t>
  </si>
  <si>
    <t>统计学</t>
  </si>
  <si>
    <t>lvzhixuan@megvii.com</t>
  </si>
  <si>
    <t>13311092061@163.com</t>
  </si>
  <si>
    <t>北京市朝阳区朝阳公园丽水嘉园8号楼1904#</t>
  </si>
  <si>
    <t>王晓洁</t>
  </si>
  <si>
    <t>华安财产保险公司内蒙古分公司保险理赔部</t>
  </si>
  <si>
    <t>曹科垒</t>
  </si>
  <si>
    <t>330281199412250476</t>
  </si>
  <si>
    <t>ckl@megvii.com</t>
  </si>
  <si>
    <t>ckl13@mails.tsinghua.edu.cn</t>
  </si>
  <si>
    <t>北京市清华大学紫荆公寓2号楼</t>
  </si>
  <si>
    <t>去外资公司排美国工作签证</t>
  </si>
  <si>
    <t xml:space="preserve">云服务业务 </t>
  </si>
  <si>
    <t>云服务业务群组-开发部-Face++开发组</t>
  </si>
  <si>
    <t>130102199412291819</t>
  </si>
  <si>
    <t>lyd@megvii.com</t>
  </si>
  <si>
    <t>hyqjlyd@qq.com</t>
  </si>
  <si>
    <t>北京市海淀区颐和园路5号北京大学46楼2083</t>
  </si>
  <si>
    <t>郎文辉</t>
  </si>
  <si>
    <t>2016.2转为全职实习生</t>
  </si>
  <si>
    <t>个人涉案</t>
  </si>
  <si>
    <t>丁亚光</t>
  </si>
  <si>
    <t>SNG-Commercial PD</t>
  </si>
  <si>
    <t>342601199007091815</t>
  </si>
  <si>
    <t>安徽巢湖</t>
  </si>
  <si>
    <t>安徽省巢湖市居巢区槐林镇武山居委会农机站宿舍</t>
  </si>
  <si>
    <t>安徽大学</t>
  </si>
  <si>
    <t>dyg@megvii.com</t>
  </si>
  <si>
    <t>dingyaguang117@gmail.com</t>
  </si>
  <si>
    <t>北京市朝阳区定福庄天泰定福苑3号楼3单元602</t>
  </si>
  <si>
    <t>林岳</t>
  </si>
  <si>
    <t>对象</t>
  </si>
  <si>
    <t>澳大利亚移民</t>
  </si>
  <si>
    <t>李亮</t>
  </si>
  <si>
    <t>智能物联业务群组-安防业务PMO</t>
  </si>
  <si>
    <t>售前工程师</t>
  </si>
  <si>
    <t>500381198901141652</t>
  </si>
  <si>
    <t>liliang@megvii.com</t>
  </si>
  <si>
    <t>liliangnihao@sina.com</t>
  </si>
  <si>
    <t>重庆市九龙坡区石杨路266号春风与湖4栋17-3</t>
  </si>
  <si>
    <t>李明忠</t>
  </si>
  <si>
    <t>宏图汇智</t>
  </si>
  <si>
    <t>杭州海康威视数字技术股份有限公司</t>
  </si>
  <si>
    <t>赵金昊</t>
  </si>
  <si>
    <t>610102199602280613</t>
  </si>
  <si>
    <t>陕西省西安市</t>
  </si>
  <si>
    <t>北京市海淀区清华园1号清华大学研究院（一）</t>
  </si>
  <si>
    <t>zhaojinhao@megvii.com</t>
  </si>
  <si>
    <t>957685908@qq.com</t>
  </si>
  <si>
    <t>清华大学紫荆学生公寓2号楼205B</t>
  </si>
  <si>
    <t>孟涛</t>
  </si>
  <si>
    <t>友</t>
  </si>
  <si>
    <t>魏子豪</t>
  </si>
  <si>
    <t>420502199608311114</t>
  </si>
  <si>
    <t>湖北省宜昌市</t>
  </si>
  <si>
    <t>湖北省宜昌市城东大道338号3-701</t>
  </si>
  <si>
    <t>weizihao@megvii.com</t>
  </si>
  <si>
    <t>weizh14@mails.tsinghua.edu.cn</t>
  </si>
  <si>
    <t>魏翔</t>
  </si>
  <si>
    <t>陈学义</t>
  </si>
  <si>
    <t>42112619870815115X</t>
  </si>
  <si>
    <t>湖北省蕲春县</t>
  </si>
  <si>
    <t>中国科学院合肥物质科学研究院</t>
  </si>
  <si>
    <t>光学</t>
  </si>
  <si>
    <t>13291850392</t>
  </si>
  <si>
    <t>chenxueyi@megvii.com.com</t>
  </si>
  <si>
    <t>杭州市滨江区西兴街道铁岭花园</t>
  </si>
  <si>
    <t>方英兰</t>
  </si>
  <si>
    <t>王启斌</t>
  </si>
  <si>
    <t>智能物联业务群组-智能楼宇业务产品部</t>
  </si>
  <si>
    <t>420111197312024031</t>
  </si>
  <si>
    <t>北京市海淀区上园村3号</t>
  </si>
  <si>
    <t>乔治华盛顿大学</t>
  </si>
  <si>
    <t>公共政策</t>
  </si>
  <si>
    <t>wangqibin@megvii.com</t>
  </si>
  <si>
    <t>qibin.wang@gmail.com</t>
  </si>
  <si>
    <t>北京市海淀区西直门北大街45号时代之光4号楼1902</t>
  </si>
  <si>
    <t>孙燕</t>
  </si>
  <si>
    <t>Sonos China</t>
  </si>
  <si>
    <t>回老家找工作</t>
  </si>
  <si>
    <t>500223199411043924</t>
  </si>
  <si>
    <t>北京林业大学经济管理学院</t>
  </si>
  <si>
    <t>jiangqinhui@megvii.com</t>
  </si>
  <si>
    <t>jqhsweet@163.com</t>
  </si>
  <si>
    <t>蒋小平</t>
  </si>
  <si>
    <t>北京经纬恒润科技有限公司</t>
  </si>
  <si>
    <t>黄如建</t>
  </si>
  <si>
    <t>摄像机软件架构师</t>
  </si>
  <si>
    <t>330325198104034114</t>
  </si>
  <si>
    <t>浙江省瑞安市</t>
  </si>
  <si>
    <t>浙江省瑞安市马屿镇心阁巷19号</t>
  </si>
  <si>
    <t>18668214780</t>
  </si>
  <si>
    <t>huangrujian@megvii.com.com</t>
  </si>
  <si>
    <t>浙江省杭州市江平区罗兰春天7-3-801</t>
  </si>
  <si>
    <t>第一次劳动合同：2015.9.8-2016.9.7</t>
  </si>
  <si>
    <t>叶坤</t>
  </si>
  <si>
    <t>智能物联业务群组-智能楼宇业务销售部</t>
  </si>
  <si>
    <t>420683199605260028</t>
  </si>
  <si>
    <t>湖北</t>
  </si>
  <si>
    <t>北京市海淀区新街口外大街19号北京师范大学</t>
  </si>
  <si>
    <t>北京师范大学</t>
  </si>
  <si>
    <t>金融学</t>
  </si>
  <si>
    <t>yekun@megvii.com</t>
  </si>
  <si>
    <t>m17888834500@163.com</t>
  </si>
  <si>
    <t>湖北省枣阳市北城派出所</t>
  </si>
  <si>
    <t>叶传兵</t>
  </si>
  <si>
    <t>王正</t>
  </si>
  <si>
    <t>110105199411073313</t>
  </si>
  <si>
    <t>北京市朝阳区垡头西里7号楼</t>
  </si>
  <si>
    <t>wangzheng@megvii.com</t>
  </si>
  <si>
    <t>wz2013013338@gmail.com</t>
  </si>
  <si>
    <t>北京市清华大学紫荆1号楼216B</t>
  </si>
  <si>
    <t>张东丽</t>
  </si>
  <si>
    <t xml:space="preserve">北京仙境科技有限公司 </t>
  </si>
  <si>
    <t>叶博睿</t>
  </si>
  <si>
    <t>429005199206138283</t>
  </si>
  <si>
    <t>湖北潜江</t>
  </si>
  <si>
    <t>湖北省潜江市江汉油田五七振兴路21栋306</t>
  </si>
  <si>
    <t>滑铁卢大学</t>
  </si>
  <si>
    <t>yeborui@megvii.com</t>
  </si>
  <si>
    <t>boruiye@outlook.com</t>
  </si>
  <si>
    <t>男朋友</t>
  </si>
  <si>
    <t>RSVP Technologies Inc.</t>
  </si>
  <si>
    <t>寻找新的职业发展方向</t>
  </si>
  <si>
    <t>游宇铭</t>
  </si>
  <si>
    <t>云服务业务-产品部</t>
  </si>
  <si>
    <t>350600199408041513</t>
  </si>
  <si>
    <t>福建省漳州市</t>
  </si>
  <si>
    <t>youyuming@megvii.com</t>
  </si>
  <si>
    <t>lygyym0347@163.com</t>
  </si>
  <si>
    <t>福建省漳州市芗城区胜利西路156号芗教新村2幢105室</t>
  </si>
  <si>
    <t>游如雕</t>
  </si>
  <si>
    <t>试用期不合格</t>
  </si>
  <si>
    <t>冯冰凛</t>
  </si>
  <si>
    <t>资深产品经理</t>
  </si>
  <si>
    <t>410822198410220052</t>
  </si>
  <si>
    <t>河南省焦作市博爱县清化镇南五巷一号</t>
  </si>
  <si>
    <t>fengbinglin@megvii.com</t>
  </si>
  <si>
    <t>240222557@qq.com</t>
  </si>
  <si>
    <t>北京市朝阳区青年路国美第一城小区</t>
  </si>
  <si>
    <t>冯忠义</t>
  </si>
  <si>
    <t>任仕达</t>
  </si>
  <si>
    <t>法乐第（北京）网络科技有限公司</t>
  </si>
  <si>
    <t>周丰</t>
  </si>
  <si>
    <t>云服务业务-开发部-Face++开发组</t>
  </si>
  <si>
    <t>迈格威</t>
  </si>
  <si>
    <t>110104198703253075</t>
  </si>
  <si>
    <t>北京市西城区平原里小区9号楼16单元301</t>
  </si>
  <si>
    <t>北京工业大学</t>
  </si>
  <si>
    <t>zhoufeng@megvii.com</t>
  </si>
  <si>
    <t>406929479@qq.com</t>
  </si>
  <si>
    <t>北京市西城区核桃园小区3号楼3单元307</t>
  </si>
  <si>
    <t>丰玉茹</t>
  </si>
  <si>
    <t>讯升</t>
  </si>
  <si>
    <t>北京安亿致用科技有限公司</t>
  </si>
  <si>
    <t>王文涛</t>
  </si>
  <si>
    <t>330621199807120014</t>
  </si>
  <si>
    <t>wangwentao@megvii.com</t>
  </si>
  <si>
    <t>wwt10@163.com</t>
  </si>
  <si>
    <t>浙江省绍兴市柯桥区日月潭花园明辉苑7幢1号</t>
  </si>
  <si>
    <t>王江海</t>
  </si>
  <si>
    <t>收入造假、不遵守考勤纪律、技术不过关</t>
  </si>
  <si>
    <t>麻双威</t>
  </si>
  <si>
    <t>智能物联业务-安防业务产品部</t>
  </si>
  <si>
    <t>测试开发工程师</t>
  </si>
  <si>
    <t>旷智</t>
  </si>
  <si>
    <t>41282719871021853X</t>
  </si>
  <si>
    <t>河南省平舆县</t>
  </si>
  <si>
    <t>郑州航空工业管理学院</t>
  </si>
  <si>
    <t>mashuangwei@megvii.com</t>
  </si>
  <si>
    <t>mashuangwei@aliyun.com</t>
  </si>
  <si>
    <t>河南省平舆县雅居乐小区</t>
  </si>
  <si>
    <t>麻彦军</t>
  </si>
  <si>
    <t>杭州网易</t>
  </si>
  <si>
    <t>绩效不达标</t>
  </si>
  <si>
    <t>赵军</t>
  </si>
  <si>
    <t>智能物联业务-安防业务销售部</t>
  </si>
  <si>
    <t>安全行业商务总监</t>
  </si>
  <si>
    <t>旷视</t>
  </si>
  <si>
    <r>
      <rPr>
        <sz val="10"/>
        <rFont val="宋体"/>
        <charset val="134"/>
      </rPr>
      <t>1</t>
    </r>
    <r>
      <rPr>
        <sz val="10"/>
        <rFont val="宋体"/>
        <charset val="134"/>
      </rPr>
      <t>52722198210042178</t>
    </r>
  </si>
  <si>
    <t>内蒙古</t>
  </si>
  <si>
    <t>鄂尔多斯市达拉特旗</t>
  </si>
  <si>
    <t>zhaojun@megvii.com</t>
  </si>
  <si>
    <t>13636671177@163.com</t>
  </si>
  <si>
    <t>上海市普陀区曹杨五村128号</t>
  </si>
  <si>
    <t>赵玲</t>
  </si>
  <si>
    <t>第一次合同期限：2014/12/1-2016/11/30</t>
  </si>
  <si>
    <t>2016.12.1小孔转签旷视</t>
  </si>
  <si>
    <t>张茂军</t>
  </si>
  <si>
    <t>420106198109024435</t>
  </si>
  <si>
    <t>武汉市武昌区东一路19-18-14-3号</t>
  </si>
  <si>
    <t>湖北经济学院</t>
  </si>
  <si>
    <t>国际经济与贸易</t>
  </si>
  <si>
    <t>zhangmaojun@megvii.com</t>
  </si>
  <si>
    <t>350574879@qq.com</t>
  </si>
  <si>
    <t>叶平</t>
  </si>
  <si>
    <t>施耐德电气（中国）有限公司</t>
  </si>
  <si>
    <t>王哲</t>
  </si>
  <si>
    <t>110104198709192031</t>
  </si>
  <si>
    <t>北京市西城区广内街道</t>
  </si>
  <si>
    <t>wangzhe@megvii.com</t>
  </si>
  <si>
    <t>wangzhemh@outlook.com</t>
  </si>
  <si>
    <t>北京市西城区康乐里小区1号楼205</t>
  </si>
  <si>
    <t>猎聘网</t>
  </si>
  <si>
    <t>德乐生软件</t>
  </si>
  <si>
    <t>唐敏杰</t>
  </si>
  <si>
    <t>平台产品业务-硬件部</t>
  </si>
  <si>
    <t>332527199401304715</t>
  </si>
  <si>
    <t>浙江丽水</t>
  </si>
  <si>
    <t>浙江万里学院</t>
  </si>
  <si>
    <t>tangminjie@megvii.com.com</t>
  </si>
  <si>
    <t>597580706@qq.com</t>
  </si>
  <si>
    <t>唐振芬</t>
  </si>
  <si>
    <t>2017.3.9因组织结构调整，从智能物联业务-安防业务产品部调整到平台产品业务-硬件部</t>
  </si>
  <si>
    <t xml:space="preserve">4.11晚上沟通   原来搜狗的，sucre推荐过一点资讯    </t>
  </si>
  <si>
    <t>王忠宁</t>
  </si>
  <si>
    <t>平台产品业务-开发运维部</t>
  </si>
  <si>
    <t>21021219861021253X</t>
  </si>
  <si>
    <t>辽宁省大连市</t>
  </si>
  <si>
    <t>北京市朝阳区外企服务公司朝阳门南大街14号</t>
  </si>
  <si>
    <t>清华大学-计算机科学与技术系</t>
  </si>
  <si>
    <t>wzn@megvii.com</t>
  </si>
  <si>
    <t>329373454@qq.com</t>
  </si>
  <si>
    <t>北京市海淀区月泉路逸成东苑20#102</t>
  </si>
  <si>
    <t>许丹青</t>
  </si>
  <si>
    <t>回家照顾小孩</t>
  </si>
  <si>
    <t>杨金苹</t>
  </si>
  <si>
    <t>412702198808170543</t>
  </si>
  <si>
    <t>yangjinping@megvii.com</t>
  </si>
  <si>
    <t>jinping817@126.com</t>
  </si>
  <si>
    <t>浙江省杭州市滨江区博赛德宾馆</t>
  </si>
  <si>
    <t>高强华</t>
  </si>
  <si>
    <t>朱近</t>
  </si>
  <si>
    <t>云服务业务-开发部-FaceID开发组</t>
  </si>
  <si>
    <t>340204199504291514</t>
  </si>
  <si>
    <t>安徽芜湖</t>
  </si>
  <si>
    <t>北京市海淀区北京大学信息科学技术学院</t>
  </si>
  <si>
    <t>zhujin@megvii.com</t>
  </si>
  <si>
    <t>JackDavid127@126.com</t>
  </si>
  <si>
    <t>朱长水</t>
  </si>
  <si>
    <t>彭方玥</t>
  </si>
  <si>
    <t>张昊</t>
  </si>
  <si>
    <t>110108198401292218</t>
  </si>
  <si>
    <t>云南昆明</t>
  </si>
  <si>
    <t>北京市海淀区成府路20号眷10楼311号</t>
  </si>
  <si>
    <t>企业管理</t>
  </si>
  <si>
    <t>zhanghao@megvii.com</t>
  </si>
  <si>
    <t>402890974@qq.com</t>
  </si>
  <si>
    <t>北京市朝阳区清河营南街9号院4号楼318</t>
  </si>
  <si>
    <t>李欣心</t>
  </si>
  <si>
    <t>王思越</t>
  </si>
  <si>
    <t>中安消技术有限公司</t>
  </si>
  <si>
    <t>那姝宇</t>
  </si>
  <si>
    <t>210404198901062122</t>
  </si>
  <si>
    <t>满族</t>
  </si>
  <si>
    <t>辽宁省抚顺市望花区凤城街</t>
  </si>
  <si>
    <t>大连民族大学</t>
  </si>
  <si>
    <t>韩国语</t>
  </si>
  <si>
    <t>nashuyu@megvii.com</t>
  </si>
  <si>
    <t>shuyuna89@hotmail.com</t>
  </si>
  <si>
    <t>北京市丰台区嘉园南路城南家园</t>
  </si>
  <si>
    <t>代亮</t>
  </si>
  <si>
    <t>施韩原</t>
  </si>
  <si>
    <t>330602199502150037</t>
  </si>
  <si>
    <t>浙江省绍兴市</t>
  </si>
  <si>
    <t>上海市闵行区东川路800号</t>
  </si>
  <si>
    <t>shihanyuan@megvii.com</t>
  </si>
  <si>
    <t>shihanyuan@sjtu.edu.cn</t>
  </si>
  <si>
    <t>浙江省绍兴市越城区朝辉路6号502室</t>
  </si>
  <si>
    <t>施可成</t>
  </si>
  <si>
    <t>MSRA</t>
  </si>
  <si>
    <t xml:space="preserve">4.11 已经去深圳小公司，暂时不看   </t>
  </si>
  <si>
    <t>吴永杰</t>
  </si>
  <si>
    <t>330225198901231991</t>
  </si>
  <si>
    <t>宁波</t>
  </si>
  <si>
    <t>浙江省象山县</t>
  </si>
  <si>
    <t>2012年</t>
  </si>
  <si>
    <t>wuyongjie@megvii.com</t>
  </si>
  <si>
    <t>wyjteddy@hotmail.com</t>
  </si>
  <si>
    <t>杭州市江干区万科学台14幢1单元904</t>
  </si>
  <si>
    <t>吴昭武</t>
  </si>
  <si>
    <t>胡勇</t>
  </si>
  <si>
    <t>420621198810028670</t>
  </si>
  <si>
    <t>湖北襄阳</t>
  </si>
  <si>
    <t>湖北省襄阳市欧庙镇张西村4组</t>
  </si>
  <si>
    <t>武汉纺织大学</t>
  </si>
  <si>
    <t>huyong@megvii.com</t>
  </si>
  <si>
    <t>彭丹丹</t>
  </si>
  <si>
    <t>龚勋</t>
  </si>
  <si>
    <t>肖羽</t>
  </si>
  <si>
    <t>350428198612050012</t>
  </si>
  <si>
    <t>福建省将乐县</t>
  </si>
  <si>
    <t>江西师范大学</t>
  </si>
  <si>
    <t>艺术设计</t>
  </si>
  <si>
    <t>xiaoyu@megvii.com</t>
  </si>
  <si>
    <t>234771868@qq.com</t>
  </si>
  <si>
    <t>卿莲花</t>
  </si>
  <si>
    <t>金光</t>
  </si>
  <si>
    <t>410728198402212514</t>
  </si>
  <si>
    <t>河南长垣县</t>
  </si>
  <si>
    <t>河南省长垣县芦岗乡金占村</t>
  </si>
  <si>
    <t>专科</t>
  </si>
  <si>
    <t>河南大学</t>
  </si>
  <si>
    <t>jinguang@megvii.com</t>
  </si>
  <si>
    <t>jinguang@qq.com</t>
  </si>
  <si>
    <t>杭州市滨江区风景蝶院5幢3单元603室</t>
  </si>
  <si>
    <t>王连玉</t>
  </si>
  <si>
    <t>2015年11月1日由旷视转至旷智</t>
  </si>
  <si>
    <t>刘菁阳</t>
  </si>
  <si>
    <t>34088119900917122X</t>
  </si>
  <si>
    <t>安徽省桐城市</t>
  </si>
  <si>
    <t>杭州市滨江区长河街道长河路590号</t>
  </si>
  <si>
    <t>浙江科技大学</t>
  </si>
  <si>
    <t>15858173711</t>
  </si>
  <si>
    <t>liujingyang@megvii.com</t>
  </si>
  <si>
    <t>jingyliu@163.com</t>
  </si>
  <si>
    <t>杭州市滨江区中兴和园</t>
  </si>
  <si>
    <t>雷颖杰</t>
  </si>
  <si>
    <t>黎振兴</t>
  </si>
  <si>
    <t>421127198709073030</t>
  </si>
  <si>
    <t>湖北省黄梅县</t>
  </si>
  <si>
    <t>湖北省黄梅县下新镇马鞍街矿山路20号</t>
  </si>
  <si>
    <t>华中农业大学</t>
  </si>
  <si>
    <t>18627766849</t>
  </si>
  <si>
    <t>lizhenxing@megvii.com</t>
  </si>
  <si>
    <t>809450139@qq.com</t>
  </si>
  <si>
    <t>杭州市滨江区春波南苑29幢2单元402</t>
  </si>
  <si>
    <t>黎爱平</t>
  </si>
  <si>
    <t>孙登博</t>
  </si>
  <si>
    <t>41018519890827301X</t>
  </si>
  <si>
    <t>河南省登封市徐庄乡孙桥村165号</t>
  </si>
  <si>
    <t>过程控制与装备</t>
  </si>
  <si>
    <t>sundengbo@megvii.com</t>
  </si>
  <si>
    <t>sunfshine@126.com</t>
  </si>
  <si>
    <t>杭州市西湖区耀江文鼎苑</t>
  </si>
  <si>
    <t>孙丙彦</t>
  </si>
  <si>
    <t>李嘉鑫</t>
  </si>
  <si>
    <t>230125198506210331</t>
  </si>
  <si>
    <t>黑龙江宾县</t>
  </si>
  <si>
    <t>杭州市滨江区寰宇湾12-1-1204</t>
  </si>
  <si>
    <t>测控技术与仪器</t>
  </si>
  <si>
    <t>lijiaxin@megvii.com</t>
  </si>
  <si>
    <t>lijiaxin_2000@163.com</t>
  </si>
  <si>
    <t>曹江萍</t>
  </si>
  <si>
    <t>陶琪</t>
  </si>
  <si>
    <t>330621199303083790</t>
  </si>
  <si>
    <t>浙江省绍兴市越城区</t>
  </si>
  <si>
    <t>taoqi@megvii.com</t>
  </si>
  <si>
    <t>15958134758@126.com</t>
  </si>
  <si>
    <t>浙江省绍兴市越城区马山镇伟业新城苑12-507</t>
  </si>
  <si>
    <t>陶敖强</t>
  </si>
  <si>
    <t>胡千里</t>
  </si>
  <si>
    <t>驻场开发工程师I</t>
  </si>
  <si>
    <t>342626199108284912</t>
  </si>
  <si>
    <t>杭州市高新人才</t>
  </si>
  <si>
    <t>电子与信息工程提高班</t>
  </si>
  <si>
    <t>huqianli@megvii.com</t>
  </si>
  <si>
    <t>hql1991@126.com</t>
  </si>
  <si>
    <t>杭州市滨江区冠山小区2栋1单元602室</t>
  </si>
  <si>
    <t>胡善富</t>
  </si>
  <si>
    <t>浙江宇视科技有限公司</t>
  </si>
  <si>
    <t>吴英敏</t>
  </si>
  <si>
    <t>330881199103228710</t>
  </si>
  <si>
    <t>浙江省衢州江山市凤林镇白沙村</t>
  </si>
  <si>
    <t>中国计量学院现代科技学院</t>
  </si>
  <si>
    <t>机械电子工程</t>
  </si>
  <si>
    <t>wuyingmin@megvii.com</t>
  </si>
  <si>
    <t>wuymjob@163.com</t>
  </si>
  <si>
    <t>滨江区东冠路金盛曼城9-1-1101</t>
  </si>
  <si>
    <t>吴钻宝</t>
  </si>
  <si>
    <t>家人</t>
  </si>
  <si>
    <t>浙江大华技术股份有限公司</t>
  </si>
  <si>
    <t>童超</t>
  </si>
  <si>
    <t>330183198809244114</t>
  </si>
  <si>
    <t>浙江富阳</t>
  </si>
  <si>
    <t>浙江省富阳市湖源乡新绿村2号</t>
  </si>
  <si>
    <t>中原工学院</t>
  </si>
  <si>
    <t>电子信息</t>
  </si>
  <si>
    <t>tongchao@megvii.com</t>
  </si>
  <si>
    <t>tongchao199@163.com</t>
  </si>
  <si>
    <t xml:space="preserve">浙江省杭州市余杭区闲林街道民丰村大许家埭河东21号 </t>
  </si>
  <si>
    <t>沈漂萍</t>
  </si>
  <si>
    <t>浙江外服</t>
  </si>
  <si>
    <t>中电海康集团有限公司</t>
  </si>
  <si>
    <t>祝晓琪</t>
  </si>
  <si>
    <t>533223199305170020</t>
  </si>
  <si>
    <t>云南丽江</t>
  </si>
  <si>
    <t>杭州市西湖区余杭塘路866号</t>
  </si>
  <si>
    <t>17706525017</t>
  </si>
  <si>
    <t>zhuxiaoqi@megvii.com</t>
  </si>
  <si>
    <t>zhuxiaoqi@zju.edu.cn</t>
  </si>
  <si>
    <t>浙江省杭州市浙江大学玉泉校区8舍</t>
  </si>
  <si>
    <t>祝宏</t>
  </si>
  <si>
    <t>李俊</t>
  </si>
  <si>
    <t>430481198809162458</t>
  </si>
  <si>
    <t>浙江省杭州市拱墅区田园牧歌听泉苑6幢3单元501</t>
  </si>
  <si>
    <t>厦门大学</t>
  </si>
  <si>
    <t>lijun@megvii.com</t>
  </si>
  <si>
    <t>276691986@qq.com</t>
  </si>
  <si>
    <t>贾燕</t>
  </si>
  <si>
    <t>华为技术有限公司</t>
  </si>
  <si>
    <t>郭强</t>
  </si>
  <si>
    <t>411325198608091316</t>
  </si>
  <si>
    <t>河南.南阳</t>
  </si>
  <si>
    <t>杭州滨江区西行街道古塘路6号</t>
  </si>
  <si>
    <t>中北大学</t>
  </si>
  <si>
    <t>gq@megvii.com</t>
  </si>
  <si>
    <t>guoqiang21247@163.com</t>
  </si>
  <si>
    <t>杭州滨江区春波南苑49幢一单元702室</t>
  </si>
  <si>
    <t>胡雯</t>
  </si>
  <si>
    <t>李金印</t>
  </si>
  <si>
    <t>371322198701091773</t>
  </si>
  <si>
    <t>山东省郯城县李庄镇神泉村二组74号</t>
  </si>
  <si>
    <t>南京理工大学</t>
  </si>
  <si>
    <t>lijinyin@megvii.com</t>
  </si>
  <si>
    <t>lijinyin08@163.com</t>
  </si>
  <si>
    <t>浙江省杭州市萧山区</t>
  </si>
  <si>
    <t>林先生</t>
  </si>
  <si>
    <t>陈文建</t>
  </si>
  <si>
    <t>智能物联业务团队-安防业务PMO</t>
  </si>
  <si>
    <t>330225198903300313</t>
  </si>
  <si>
    <t>浙江省宁波市象山县石浦镇新塘岸路1号</t>
  </si>
  <si>
    <t>chenwenjian@megvii.com</t>
  </si>
  <si>
    <t>cwj229@126.com</t>
  </si>
  <si>
    <t>杭州市西湖区武林巷37号3幢二单元401</t>
  </si>
  <si>
    <t>陈海平</t>
  </si>
  <si>
    <t>液化空气（杭州）有限公司</t>
  </si>
  <si>
    <t>2017.4.5由平台产品业务-开发运维部 转岗至 SNG-security-PMO部门</t>
  </si>
  <si>
    <t>阮越东</t>
  </si>
  <si>
    <t>330681198708101530</t>
  </si>
  <si>
    <t>杭州市西湖区下宁巷8号西溪派出所</t>
  </si>
  <si>
    <t>ruanyuedong@megvii.com</t>
  </si>
  <si>
    <t>260452721@qq.com</t>
  </si>
  <si>
    <t>杭州市西湖区保俶北路94号303室</t>
  </si>
  <si>
    <t>陈林美</t>
  </si>
  <si>
    <t>420881199009284013</t>
  </si>
  <si>
    <t>湖北钟祥</t>
  </si>
  <si>
    <t>湖北省钟祥市石牌镇</t>
  </si>
  <si>
    <t>gongxun@megvii.com</t>
  </si>
  <si>
    <t>290227488@qq.com</t>
  </si>
  <si>
    <t>滕宏斌</t>
  </si>
  <si>
    <t>330102199009291816</t>
  </si>
  <si>
    <t>杭州市江干区采荷派出所</t>
  </si>
  <si>
    <t>云南大学滇池学院</t>
  </si>
  <si>
    <t>tenghongbin@megvii.com</t>
  </si>
  <si>
    <t>tenghongbin@163.com</t>
  </si>
  <si>
    <t>杭州市江干区采荷东区8-1-401</t>
  </si>
  <si>
    <t>傅敏</t>
  </si>
  <si>
    <t>杭州海康威视数字技术股份有限公司海康威视</t>
  </si>
  <si>
    <t>邵建成</t>
  </si>
  <si>
    <t>330721198703277130</t>
  </si>
  <si>
    <t>浙江省金华市</t>
  </si>
  <si>
    <t>浙江省金华市婺城区华龙南街201号文景苑3幢2单元202室</t>
  </si>
  <si>
    <t>贵州大学</t>
  </si>
  <si>
    <t>shaojiancheng@megvii.com</t>
  </si>
  <si>
    <t>zjjcshao@163.com</t>
  </si>
  <si>
    <t>杭州市西湖区文三路477号华星科技大厦675室</t>
  </si>
  <si>
    <t>李静</t>
  </si>
  <si>
    <t>童锴</t>
  </si>
  <si>
    <t>博康智能网络科技有限公司</t>
  </si>
  <si>
    <t>金子</t>
  </si>
  <si>
    <t>330106199011111517</t>
  </si>
  <si>
    <t>广播电视工程</t>
  </si>
  <si>
    <t>jinzi@megvii.com</t>
  </si>
  <si>
    <t>348839316@qq.com</t>
  </si>
  <si>
    <t>杭州市拱墅区半山东路朗诗田园绿郡8-1-102</t>
  </si>
  <si>
    <t>刘建红</t>
  </si>
  <si>
    <t>杭州海康威视系统技术有限公司</t>
  </si>
  <si>
    <t>汤利波</t>
  </si>
  <si>
    <t>320582198004056419</t>
  </si>
  <si>
    <t>杭州市滨江区江南大道3788号2415室</t>
  </si>
  <si>
    <t>tanglibo@megvii.com</t>
  </si>
  <si>
    <t>tanglibo2000@sina.com</t>
  </si>
  <si>
    <t>杭州市萧山区闻堰镇江南摩卡18－1－602</t>
  </si>
  <si>
    <t>赵俊</t>
  </si>
  <si>
    <t>自荐</t>
  </si>
  <si>
    <t>UT斯达康</t>
  </si>
  <si>
    <t>龚剑</t>
  </si>
  <si>
    <t>420204198212244914</t>
  </si>
  <si>
    <t>杭州市滨江区国信嘉园1-2-1101室</t>
  </si>
  <si>
    <t>gongjian@megvii.com</t>
  </si>
  <si>
    <t>gongjian_1224@sina.com</t>
  </si>
  <si>
    <t>刘凤瑞</t>
  </si>
  <si>
    <t>拓能特</t>
  </si>
  <si>
    <t>杭州华三通信技术有限公司/浙江宇视科技有限公司</t>
  </si>
  <si>
    <t>钟细苟</t>
  </si>
  <si>
    <t>财务团队</t>
  </si>
  <si>
    <t>360521198103108610</t>
  </si>
  <si>
    <t>江西新余</t>
  </si>
  <si>
    <t>济南大学</t>
  </si>
  <si>
    <t>zhongxigou@megvii.com</t>
  </si>
  <si>
    <t>32244299@qq.com</t>
  </si>
  <si>
    <t>杭州市滨江区冠山小区3-1-302</t>
  </si>
  <si>
    <t>韩丹丹</t>
  </si>
  <si>
    <t>周海洲</t>
  </si>
  <si>
    <t>450923198410240036</t>
  </si>
  <si>
    <t>广西</t>
  </si>
  <si>
    <t>杭州萧山区经济开发区鸿达路125号</t>
  </si>
  <si>
    <t>zhouhaizhou@megvii.com</t>
  </si>
  <si>
    <t>914062090@qq.com</t>
  </si>
  <si>
    <t>杭州余杭区闲富北路西溪海小海听海苑7幢701</t>
  </si>
  <si>
    <t>苏璐</t>
  </si>
  <si>
    <t>菜鸟网络科技有限公司</t>
  </si>
  <si>
    <t>茹敏</t>
  </si>
  <si>
    <t>330521198210110219</t>
  </si>
  <si>
    <t>浙江湖州</t>
  </si>
  <si>
    <t>浙江湖州德清县</t>
  </si>
  <si>
    <t>浙江大学城市学院</t>
  </si>
  <si>
    <t>信息工程（通信工程方向）</t>
  </si>
  <si>
    <t>13958119303/15306561196</t>
  </si>
  <si>
    <t>rumin@megvii.com</t>
  </si>
  <si>
    <t>13958119303@139.com</t>
  </si>
  <si>
    <t>浙江省杭州市滨江区长河街道倾城之恋花园16幢2单元1202</t>
  </si>
  <si>
    <t>王芳</t>
  </si>
  <si>
    <t>杭州藏愚科技有限公司</t>
  </si>
  <si>
    <t>回学校做毕设</t>
  </si>
  <si>
    <t>林定国</t>
  </si>
  <si>
    <t>350600199410090031</t>
  </si>
  <si>
    <t>北京市海淀区中关村大街59号中国人民大学2013级商学院本科生</t>
  </si>
  <si>
    <t>中国人民大学商学院</t>
  </si>
  <si>
    <t>lindingguo@megvii.com</t>
  </si>
  <si>
    <t>rbslindingguo@163.com</t>
  </si>
  <si>
    <t>北京市海淀区中关村大街59号中国人民大学品园2楼</t>
  </si>
  <si>
    <t>陈丽燕</t>
  </si>
  <si>
    <t>西藏信托有限公司</t>
  </si>
  <si>
    <t>去深圳发展</t>
  </si>
  <si>
    <t>邵猛</t>
  </si>
  <si>
    <t>130983198602043936</t>
  </si>
  <si>
    <t>河北省黄骅市</t>
  </si>
  <si>
    <t>河北省黄骅市南排河镇歧口派出所</t>
  </si>
  <si>
    <t>重庆大学</t>
  </si>
  <si>
    <t>应用物理学</t>
  </si>
  <si>
    <t>shaomeng@megvii.com</t>
  </si>
  <si>
    <t>shaom_wp@hotmail.com</t>
  </si>
  <si>
    <t>北京市海淀区毛纺厂西小区3号楼1单元402室</t>
  </si>
  <si>
    <t>刘宇翔</t>
  </si>
  <si>
    <t>110108198210285410</t>
  </si>
  <si>
    <t>江苏省启东市</t>
  </si>
  <si>
    <t>北京市东城区安外上龙西里37号楼605室</t>
  </si>
  <si>
    <t>北京航空航天大学</t>
  </si>
  <si>
    <t>战略管理与企业信息化</t>
  </si>
  <si>
    <t>liuyuxiang@megvii.com</t>
  </si>
  <si>
    <t>liu.yu.xiang@foxmail.com</t>
  </si>
  <si>
    <t>邹光远</t>
  </si>
  <si>
    <t>诺威咨询</t>
  </si>
  <si>
    <t>延长试用期2个月</t>
  </si>
  <si>
    <t>去搜狗</t>
  </si>
  <si>
    <t>刘泽南</t>
  </si>
  <si>
    <t>220204199101034217</t>
  </si>
  <si>
    <t>本</t>
  </si>
  <si>
    <t>liuzenan@megvii.com</t>
  </si>
  <si>
    <t>584265571@qq.com</t>
  </si>
  <si>
    <t>北京市海淀区蓟门里东区6号楼</t>
  </si>
  <si>
    <t>网络平台社招</t>
  </si>
  <si>
    <t>Faceui</t>
  </si>
  <si>
    <t>入职未提供离职证明，故未签劳动合同</t>
  </si>
  <si>
    <t>吴充</t>
  </si>
  <si>
    <t>110109198507012110</t>
  </si>
  <si>
    <t>wuchong@megvii.com</t>
  </si>
  <si>
    <t>562381361@qq.com</t>
  </si>
  <si>
    <t>北京市昌平区豆各庄武警家属楼</t>
  </si>
  <si>
    <t>王蕾</t>
  </si>
  <si>
    <t>第一次合同期限：2014/7/28-2016/7/31</t>
  </si>
  <si>
    <t>杜大有</t>
  </si>
  <si>
    <t>110105199604128114</t>
  </si>
  <si>
    <t>北京市海淀区人民大学北路33号院2号楼305</t>
  </si>
  <si>
    <t>dudayou@megvii.com</t>
  </si>
  <si>
    <t>1300012870@pku.edu.cn</t>
  </si>
  <si>
    <t>北京市海淀区颐和园路五号北京大学46楼2086</t>
  </si>
  <si>
    <t>杜文</t>
  </si>
  <si>
    <t>韩文钦</t>
  </si>
  <si>
    <t>371525198707230017</t>
  </si>
  <si>
    <t>山东省聊城市</t>
  </si>
  <si>
    <t>海淀区西四环北路73号人才服务中心20130601号</t>
  </si>
  <si>
    <t>中国科学院研究生院</t>
  </si>
  <si>
    <t>光机电</t>
  </si>
  <si>
    <t>hanwenqin@megvii.com</t>
  </si>
  <si>
    <t>hancc1234@163.com</t>
  </si>
  <si>
    <t>北京市朝阳区潘家园街道华威西里14号楼1-202</t>
  </si>
  <si>
    <t>张亚冰</t>
  </si>
  <si>
    <t>天地融科技股份有限公司</t>
  </si>
  <si>
    <t>申健</t>
  </si>
  <si>
    <t>231083197805070433</t>
  </si>
  <si>
    <t>黑龙江阿城</t>
  </si>
  <si>
    <t>北京市丰台区方庄芳星园三区五号楼2101室</t>
  </si>
  <si>
    <t>黑龙江大学俄语系</t>
  </si>
  <si>
    <t>俄罗斯语言</t>
  </si>
  <si>
    <t>shenjian@megvii.com</t>
  </si>
  <si>
    <t>1647139010@qq.com</t>
  </si>
  <si>
    <t>张妍妍</t>
  </si>
  <si>
    <t>公安部国际合作局</t>
  </si>
  <si>
    <t>庄军</t>
  </si>
  <si>
    <t>市场销售团队-Face++销售部</t>
  </si>
  <si>
    <t>230104198604210915</t>
  </si>
  <si>
    <t>黑龙江省</t>
  </si>
  <si>
    <t>哈尔滨市道外区承德街201号</t>
  </si>
  <si>
    <t>东北农业大学</t>
  </si>
  <si>
    <t>保险学</t>
  </si>
  <si>
    <t>2009年7月</t>
  </si>
  <si>
    <t>zhuangjun@megvii.com</t>
  </si>
  <si>
    <t>zhuangjun312@hotmail.com</t>
  </si>
  <si>
    <t>北京市东城区新怡家园五号楼三单元1002</t>
  </si>
  <si>
    <t>张向春</t>
  </si>
  <si>
    <t>北京卓易讯畅科技有限公司</t>
  </si>
  <si>
    <t>2016.12.1起旷视转签小孔</t>
  </si>
  <si>
    <t>毕业去今日头条</t>
  </si>
  <si>
    <t>余林韵</t>
  </si>
  <si>
    <t>1年8个月</t>
  </si>
  <si>
    <t>350102199004031939</t>
  </si>
  <si>
    <t>福建福州</t>
  </si>
  <si>
    <t>yulinyun@megvii.com</t>
  </si>
  <si>
    <t>mail@scalerhyme.com</t>
  </si>
  <si>
    <t>北京市清华大学紫荆公寓14号楼1317B</t>
  </si>
  <si>
    <t>李喜载</t>
  </si>
  <si>
    <t>彭泽文</t>
  </si>
  <si>
    <t>430405199003073032</t>
  </si>
  <si>
    <t>湖南省</t>
  </si>
  <si>
    <t>广东省佛山市顺德区大良街道南国中路风南花园D座501</t>
  </si>
  <si>
    <t>Brandeis University</t>
  </si>
  <si>
    <t>Computer Science</t>
  </si>
  <si>
    <t>pengzewen@megvii.com</t>
  </si>
  <si>
    <t>pengzewen@hotmail.com</t>
  </si>
  <si>
    <t>彭宏社</t>
  </si>
  <si>
    <t>APC</t>
  </si>
  <si>
    <t>AOL Platform</t>
  </si>
  <si>
    <t>李康炜</t>
  </si>
  <si>
    <t>371526198806085616</t>
  </si>
  <si>
    <t>山东省高唐县鼓楼东路467室4号楼1单元301室</t>
  </si>
  <si>
    <t>西南科技大学</t>
  </si>
  <si>
    <t>会计专业</t>
  </si>
  <si>
    <t>likangwei@megvii.com</t>
  </si>
  <si>
    <t>262708239@qq.com</t>
  </si>
  <si>
    <t>北京东城区安定路26号楼505</t>
  </si>
  <si>
    <t>李孝言</t>
  </si>
  <si>
    <t>拉勾网</t>
  </si>
  <si>
    <t>美菜网</t>
  </si>
  <si>
    <t>320203199503091828</t>
  </si>
  <si>
    <t>江苏省无锡市</t>
  </si>
  <si>
    <t>北京市海淀区颐和园路5号北京大学</t>
  </si>
  <si>
    <t>pengfangyue@megvii.com</t>
  </si>
  <si>
    <t>fangyuep@pku.edu.cn</t>
  </si>
  <si>
    <t>彭永红</t>
  </si>
  <si>
    <t xml:space="preserve">张弛  </t>
  </si>
  <si>
    <t>智能物联业务-战略业务支持部</t>
  </si>
  <si>
    <t>新员工培训签到表</t>
  </si>
  <si>
    <t>正式员工</t>
  </si>
  <si>
    <t>NO</t>
  </si>
  <si>
    <t>部门</t>
  </si>
  <si>
    <t>签到</t>
  </si>
  <si>
    <t>Label开发组</t>
  </si>
  <si>
    <t>公共业务-战略业务拓展部</t>
  </si>
  <si>
    <t>智能物联业务-行业解决方案部</t>
  </si>
  <si>
    <t>云服务业务-互联网业务销售部</t>
  </si>
  <si>
    <t xml:space="preserve">智能物联业务-智能楼宇业务销售部 </t>
  </si>
  <si>
    <t>平台产品业务-基础架构部-Brain++平台开发组</t>
  </si>
  <si>
    <t>市场部-品牌与市场部</t>
  </si>
  <si>
    <t>平台产品业务群组-基础架构部-Brain Engine组</t>
  </si>
  <si>
    <t>云服务业务群组-算法组</t>
  </si>
  <si>
    <t>智能物联业务-技术服务支持部</t>
  </si>
  <si>
    <t>智能物联业务-智能楼宇业务产品部</t>
  </si>
  <si>
    <t xml:space="preserve">市场部-品牌与市场部 </t>
  </si>
  <si>
    <t>云服务业务-解决方案部</t>
  </si>
  <si>
    <t>云服务业务-质量部</t>
  </si>
  <si>
    <t>云服务业务团队-技术支持部</t>
  </si>
  <si>
    <t>云服务业务-金融业务销售部</t>
  </si>
  <si>
    <t>公共业务-运营部</t>
  </si>
  <si>
    <t>运营部-ERP项目部</t>
  </si>
  <si>
    <t>平台产品业务-知识产权部</t>
  </si>
  <si>
    <t>平台产品业务-Brain++平台开发组</t>
  </si>
  <si>
    <t>职位</t>
  </si>
  <si>
    <t>CSG-QA</t>
  </si>
  <si>
    <t>平台产品业务群组-硬件部</t>
  </si>
  <si>
    <t>云服务业务群组</t>
  </si>
  <si>
    <t>公共业务群组-运营部</t>
  </si>
  <si>
    <t>智能物联业务群组-行业解决方案部</t>
  </si>
  <si>
    <t>公共业务群组-战略业务拓展部</t>
  </si>
  <si>
    <t>云服务业务群组-解决方案部</t>
  </si>
  <si>
    <t>智能物联业务群组-战略业务支持部</t>
  </si>
  <si>
    <t>CSG-Dev-Face++</t>
  </si>
  <si>
    <t>CSG-PM</t>
  </si>
  <si>
    <t>PPG-IP</t>
  </si>
  <si>
    <t xml:space="preserve">SNG-TSS </t>
  </si>
  <si>
    <t xml:space="preserve">SNG-Commercial PD </t>
  </si>
  <si>
    <t>Operation-SCM</t>
  </si>
  <si>
    <t>PSG-SWAT</t>
  </si>
  <si>
    <t>SNG-Security</t>
  </si>
  <si>
    <t>GD-SWAT</t>
  </si>
  <si>
    <t>半年未参加
，不再邀请</t>
  </si>
  <si>
    <t>CSP</t>
  </si>
  <si>
    <t>SSN-Commercial-PD</t>
  </si>
  <si>
    <t>GD-GD</t>
  </si>
  <si>
    <t>GD-GR</t>
  </si>
  <si>
    <t>Develop-TPM</t>
  </si>
  <si>
    <t>Agenda</t>
  </si>
  <si>
    <t xml:space="preserve"> </t>
  </si>
  <si>
    <t xml:space="preserve">  </t>
  </si>
  <si>
    <t>SSN-Commercial-TSS</t>
  </si>
  <si>
    <t>-</t>
  </si>
  <si>
    <t>1:00-1:45  破冰&amp;提问环节</t>
  </si>
  <si>
    <t>1:45-2:30  关于Megvii         by Yin Qi &amp; Wenbin</t>
  </si>
  <si>
    <t>2:30-3:00  Megvii黑科技       by Zhimin</t>
  </si>
  <si>
    <t>SSN-Hardware</t>
  </si>
  <si>
    <t>3:15-3:45  专利/知识产权培训   by Zhao Lijie</t>
  </si>
  <si>
    <t>3:45-4:15  你的BAG   by Yuan Lin</t>
  </si>
  <si>
    <t>准备：</t>
  </si>
  <si>
    <t>建议Summary：</t>
  </si>
  <si>
    <t>1，确认时间，更新PPT，YQ/WB/ZM/LIN</t>
  </si>
  <si>
    <t>1，PPT可以更有趣一些</t>
  </si>
  <si>
    <t>Develop-Infra-Label</t>
  </si>
  <si>
    <t>2，发送邀请，告知安排及迟到惩罚</t>
  </si>
  <si>
    <t>2，一些制度和流程可以更详细，如各类假期、薪酬福利等（旅游很有吸引力）</t>
  </si>
  <si>
    <t>3，提前准备电脑、测试音响</t>
  </si>
  <si>
    <t>3，技术部分可以增加演示环节</t>
  </si>
  <si>
    <t>4，准备问卷、问题纸</t>
  </si>
  <si>
    <t>4，想听到对公司未来发展的介绍</t>
  </si>
  <si>
    <t>5，示范举例自我介绍（提前准备好，不一定从谁开始）</t>
  </si>
  <si>
    <t>5，多增加各种系统完善培训：google系统？开发系统？</t>
  </si>
  <si>
    <t>新员工现场准备：</t>
  </si>
  <si>
    <t>1，每人准备3个问题</t>
  </si>
  <si>
    <t>2，准备自我介绍：谁+做什么+来自哪里+爱好+3个命题</t>
  </si>
  <si>
    <t>Develop-Infra-Brain Engine</t>
  </si>
  <si>
    <t>CSP-PM</t>
  </si>
  <si>
    <t>Operation-Legal</t>
  </si>
  <si>
    <t>2:30-3:00  大爷和黑科技       by Zhimin</t>
  </si>
  <si>
    <t>3:00-3:30  你的BAG            by Yuan Lin</t>
  </si>
  <si>
    <t>CSP-Pre Sales</t>
  </si>
  <si>
    <t>SSN-Commercial BD</t>
  </si>
  <si>
    <t>R&amp;D-Hardware</t>
  </si>
  <si>
    <t>Develop-TSS</t>
  </si>
  <si>
    <t>Cloud Service-PM</t>
  </si>
  <si>
    <t>SmartTech-HW</t>
  </si>
  <si>
    <t>Develop-OP/IT</t>
  </si>
  <si>
    <t>P&amp;B-Sales</t>
  </si>
  <si>
    <t>Cloud Service-QA</t>
  </si>
  <si>
    <t>P&amp;B-Online FaceID</t>
  </si>
  <si>
    <t>Cloud Service-Brain</t>
  </si>
  <si>
    <t>下午参加</t>
  </si>
  <si>
    <t>—</t>
  </si>
  <si>
    <t>5，示范举例自我介绍</t>
  </si>
  <si>
    <t>2:00-2:40 pm</t>
  </si>
  <si>
    <t>关于贵司</t>
  </si>
  <si>
    <t>印奇/文斌</t>
  </si>
  <si>
    <t>2:40-3:20 pm</t>
  </si>
  <si>
    <t>大爷和黑科技</t>
  </si>
  <si>
    <t>3:20-4:00 pm</t>
  </si>
  <si>
    <t>你的BAG</t>
  </si>
  <si>
    <t>B&amp;M</t>
  </si>
  <si>
    <t>Develop-Hardware</t>
  </si>
  <si>
    <t>F-Face</t>
  </si>
  <si>
    <t>S-Face</t>
  </si>
  <si>
    <t>IS</t>
  </si>
  <si>
    <t>Big Admin</t>
  </si>
  <si>
    <t>Core Dev</t>
  </si>
  <si>
    <t>Develop</t>
  </si>
  <si>
    <t>Industry Solution</t>
  </si>
  <si>
    <t>Commercial</t>
  </si>
  <si>
    <t>兼职实习生</t>
  </si>
  <si>
    <t>leave</t>
  </si>
  <si>
    <t>Develop-CoreDev</t>
  </si>
  <si>
    <t>BAG</t>
  </si>
  <si>
    <t>Cloud</t>
  </si>
  <si>
    <t>相机技术支持工程师</t>
  </si>
  <si>
    <t>监控安装工</t>
  </si>
  <si>
    <t>Hardware</t>
  </si>
  <si>
    <t>行政主管兼前台</t>
  </si>
  <si>
    <t>Senior Researcher</t>
  </si>
  <si>
    <t>潘姝娜</t>
  </si>
  <si>
    <t>客服主管</t>
  </si>
  <si>
    <t>经理</t>
  </si>
  <si>
    <t>video research leader</t>
  </si>
  <si>
    <t>Law</t>
  </si>
  <si>
    <t>知识产权负责人</t>
  </si>
  <si>
    <t>对内人事经理</t>
  </si>
  <si>
    <t>Principal Engineer</t>
  </si>
  <si>
    <t>Principle Scientist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</si>
</sst>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_);[Red]\(0\)"/>
  </numFmts>
  <fonts count="47">
    <font>
      <sz val="11"/>
      <color theme="1"/>
      <name val="宋体"/>
      <charset val="134"/>
      <scheme val="minor"/>
    </font>
    <font>
      <sz val="11"/>
      <color theme="1"/>
      <name val="黑体"/>
      <charset val="134"/>
    </font>
    <font>
      <sz val="10"/>
      <name val="黑体"/>
      <charset val="134"/>
    </font>
    <font>
      <sz val="10"/>
      <color rgb="FF00B0F0"/>
      <name val="黑体"/>
      <charset val="134"/>
    </font>
    <font>
      <b/>
      <sz val="14"/>
      <color theme="1"/>
      <name val="黑体"/>
      <charset val="134"/>
    </font>
    <font>
      <b/>
      <sz val="11"/>
      <color theme="1"/>
      <name val="黑体"/>
      <charset val="134"/>
    </font>
    <font>
      <b/>
      <sz val="10"/>
      <name val="黑体"/>
      <charset val="134"/>
    </font>
    <font>
      <sz val="10"/>
      <color rgb="FF0070C0"/>
      <name val="黑体"/>
      <charset val="134"/>
    </font>
    <font>
      <sz val="11"/>
      <name val="黑体"/>
      <charset val="134"/>
    </font>
    <font>
      <sz val="10"/>
      <color rgb="FFFF0000"/>
      <name val="黑体"/>
      <charset val="134"/>
    </font>
    <font>
      <b/>
      <sz val="12"/>
      <color rgb="FF222222"/>
      <name val="黑体"/>
      <charset val="134"/>
    </font>
    <font>
      <sz val="12"/>
      <color rgb="FF222222"/>
      <name val="黑体"/>
      <charset val="134"/>
    </font>
    <font>
      <sz val="10"/>
      <color theme="1"/>
      <name val="黑体"/>
      <charset val="134"/>
    </font>
    <font>
      <sz val="10"/>
      <color theme="1" tint="0.499984740745262"/>
      <name val="黑体"/>
      <charset val="134"/>
    </font>
    <font>
      <sz val="11"/>
      <name val="宋体"/>
      <charset val="134"/>
      <scheme val="minor"/>
    </font>
    <font>
      <sz val="10"/>
      <name val="宋体"/>
      <charset val="134"/>
      <scheme val="minor"/>
    </font>
    <font>
      <b/>
      <sz val="10"/>
      <color theme="0"/>
      <name val="宋体"/>
      <charset val="134"/>
      <scheme val="minor"/>
    </font>
    <font>
      <sz val="10"/>
      <name val="宋体"/>
      <charset val="134"/>
    </font>
    <font>
      <sz val="10"/>
      <color theme="1"/>
      <name val="宋体"/>
      <charset val="134"/>
      <scheme val="minor"/>
    </font>
    <font>
      <sz val="10"/>
      <color theme="1"/>
      <name val="宋体"/>
      <charset val="134"/>
    </font>
    <font>
      <sz val="10"/>
      <color rgb="FFFF0000"/>
      <name val="宋体"/>
      <charset val="134"/>
      <scheme val="minor"/>
    </font>
    <font>
      <sz val="10"/>
      <color rgb="FFFF0000"/>
      <name val="宋体"/>
      <charset val="134"/>
    </font>
    <font>
      <u/>
      <sz val="11"/>
      <color theme="10"/>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rgb="FF000000"/>
      <name val="宋体"/>
      <charset val="134"/>
    </font>
    <font>
      <sz val="12"/>
      <color indexed="8"/>
      <name val="Verdana"/>
      <charset val="134"/>
    </font>
    <font>
      <sz val="9"/>
      <color theme="1"/>
      <name val="宋体"/>
      <charset val="134"/>
    </font>
    <font>
      <sz val="9"/>
      <name val="宋体"/>
      <charset val="134"/>
    </font>
    <font>
      <b/>
      <sz val="9"/>
      <name val="宋体"/>
      <charset val="134"/>
    </font>
  </fonts>
  <fills count="43">
    <fill>
      <patternFill patternType="none"/>
    </fill>
    <fill>
      <patternFill patternType="gray125"/>
    </fill>
    <fill>
      <patternFill patternType="solid">
        <fgColor theme="0"/>
        <bgColor indexed="64"/>
      </patternFill>
    </fill>
    <fill>
      <patternFill patternType="solid">
        <fgColor theme="4" tint="0.799951170384838"/>
        <bgColor indexed="64"/>
      </patternFill>
    </fill>
    <fill>
      <patternFill patternType="solid">
        <fgColor rgb="FFFFFF00"/>
        <bgColor indexed="64"/>
      </patternFill>
    </fill>
    <fill>
      <patternFill patternType="solid">
        <fgColor theme="6" tint="0.799951170384838"/>
        <bgColor indexed="64"/>
      </patternFill>
    </fill>
    <fill>
      <patternFill patternType="solid">
        <fgColor rgb="FFFFEEDD"/>
        <bgColor indexed="64"/>
      </patternFill>
    </fill>
    <fill>
      <patternFill patternType="solid">
        <fgColor rgb="FFFFF7EF"/>
        <bgColor indexed="64"/>
      </patternFill>
    </fill>
    <fill>
      <patternFill patternType="solid">
        <fgColor rgb="FF0070C0"/>
        <bgColor indexed="6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theme="8" tint="0.399945066682943"/>
        <bgColor indexed="64"/>
      </patternFill>
    </fill>
    <fill>
      <patternFill patternType="solid">
        <fgColor theme="7"/>
        <bgColor indexed="64"/>
      </patternFill>
    </fill>
    <fill>
      <patternFill patternType="solid">
        <fgColor theme="9" tint="-0.249977111117893"/>
        <bgColor indexed="64"/>
      </patternFill>
    </fill>
    <fill>
      <patternFill patternType="solid">
        <fgColor theme="9"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bottom/>
      <diagonal/>
    </border>
    <border>
      <left/>
      <right/>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ont="0" applyFill="0" applyBorder="0" applyAlignment="0" applyProtection="0">
      <alignment vertical="top"/>
      <protection locked="0"/>
    </xf>
    <xf numFmtId="0" fontId="23" fillId="0" borderId="0" applyNumberFormat="0" applyFill="0" applyBorder="0" applyAlignment="0" applyProtection="0">
      <alignment vertical="center"/>
    </xf>
    <xf numFmtId="0" fontId="0" fillId="16" borderId="24"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25" applyNumberFormat="0" applyFill="0" applyAlignment="0" applyProtection="0">
      <alignment vertical="center"/>
    </xf>
    <xf numFmtId="0" fontId="28" fillId="0" borderId="25" applyNumberFormat="0" applyFill="0" applyAlignment="0" applyProtection="0">
      <alignment vertical="center"/>
    </xf>
    <xf numFmtId="0" fontId="29" fillId="0" borderId="26" applyNumberFormat="0" applyFill="0" applyAlignment="0" applyProtection="0">
      <alignment vertical="center"/>
    </xf>
    <xf numFmtId="0" fontId="29" fillId="0" borderId="0" applyNumberFormat="0" applyFill="0" applyBorder="0" applyAlignment="0" applyProtection="0">
      <alignment vertical="center"/>
    </xf>
    <xf numFmtId="0" fontId="30" fillId="17" borderId="27" applyNumberFormat="0" applyAlignment="0" applyProtection="0">
      <alignment vertical="center"/>
    </xf>
    <xf numFmtId="0" fontId="31" fillId="18" borderId="28" applyNumberFormat="0" applyAlignment="0" applyProtection="0">
      <alignment vertical="center"/>
    </xf>
    <xf numFmtId="0" fontId="32" fillId="18" borderId="27" applyNumberFormat="0" applyAlignment="0" applyProtection="0">
      <alignment vertical="center"/>
    </xf>
    <xf numFmtId="0" fontId="33" fillId="19" borderId="29" applyNumberFormat="0" applyAlignment="0" applyProtection="0">
      <alignment vertical="center"/>
    </xf>
    <xf numFmtId="0" fontId="34" fillId="0" borderId="30" applyNumberFormat="0" applyFill="0" applyAlignment="0" applyProtection="0">
      <alignment vertical="center"/>
    </xf>
    <xf numFmtId="0" fontId="35" fillId="0" borderId="31" applyNumberFormat="0" applyFill="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11"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39" fillId="29" borderId="0" applyNumberFormat="0" applyBorder="0" applyAlignment="0" applyProtection="0">
      <alignment vertical="center"/>
    </xf>
    <xf numFmtId="0" fontId="39" fillId="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13"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39" fillId="39" borderId="0" applyNumberFormat="0" applyBorder="0" applyAlignment="0" applyProtection="0">
      <alignment vertical="center"/>
    </xf>
    <xf numFmtId="0" fontId="39" fillId="10" borderId="0" applyNumberFormat="0" applyBorder="0" applyAlignment="0" applyProtection="0">
      <alignment vertical="center"/>
    </xf>
    <xf numFmtId="0" fontId="40" fillId="40" borderId="0" applyNumberFormat="0" applyBorder="0" applyAlignment="0" applyProtection="0">
      <alignment vertical="center"/>
    </xf>
    <xf numFmtId="0" fontId="40" fillId="41" borderId="0" applyNumberFormat="0" applyBorder="0" applyAlignment="0" applyProtection="0">
      <alignment vertical="center"/>
    </xf>
    <xf numFmtId="0" fontId="39" fillId="42" borderId="0" applyNumberFormat="0" applyBorder="0" applyAlignment="0" applyProtection="0">
      <alignment vertical="center"/>
    </xf>
    <xf numFmtId="0" fontId="41" fillId="0" borderId="0"/>
    <xf numFmtId="0" fontId="41" fillId="0" borderId="0"/>
    <xf numFmtId="0" fontId="41" fillId="0" borderId="0"/>
    <xf numFmtId="0" fontId="42" fillId="0" borderId="0"/>
    <xf numFmtId="0" fontId="43" fillId="0" borderId="0" applyNumberFormat="0" applyFill="0" applyBorder="0" applyProtection="0">
      <alignment vertical="top" wrapText="1"/>
    </xf>
    <xf numFmtId="0" fontId="0" fillId="0" borderId="0"/>
  </cellStyleXfs>
  <cellXfs count="284">
    <xf numFmtId="0" fontId="0" fillId="0" borderId="0" xfId="0"/>
    <xf numFmtId="0" fontId="1" fillId="2" borderId="0" xfId="0" applyFont="1" applyFill="1"/>
    <xf numFmtId="0" fontId="1" fillId="0" borderId="0" xfId="0" applyFont="1"/>
    <xf numFmtId="0" fontId="2" fillId="2" borderId="1" xfId="0" applyFont="1" applyFill="1" applyBorder="1" applyAlignment="1" applyProtection="1">
      <alignment vertical="center"/>
    </xf>
    <xf numFmtId="0" fontId="3" fillId="0" borderId="1" xfId="51" applyFont="1" applyFill="1" applyBorder="1" applyAlignment="1">
      <alignment vertical="center"/>
    </xf>
    <xf numFmtId="0" fontId="2" fillId="0" borderId="1" xfId="51" applyFont="1" applyFill="1" applyBorder="1" applyAlignment="1">
      <alignment vertical="center"/>
    </xf>
    <xf numFmtId="14" fontId="2" fillId="2" borderId="1" xfId="0" applyNumberFormat="1" applyFont="1" applyFill="1" applyBorder="1" applyAlignment="1" applyProtection="1">
      <alignment vertical="center"/>
    </xf>
    <xf numFmtId="14" fontId="2" fillId="2" borderId="2" xfId="0" applyNumberFormat="1" applyFont="1" applyFill="1" applyBorder="1" applyAlignment="1" applyProtection="1">
      <alignment vertical="center"/>
    </xf>
    <xf numFmtId="0" fontId="1" fillId="0" borderId="1" xfId="0" applyFont="1" applyBorder="1" applyAlignment="1"/>
    <xf numFmtId="0" fontId="1" fillId="0" borderId="0" xfId="0" applyFont="1" applyAlignment="1"/>
    <xf numFmtId="0" fontId="4" fillId="0" borderId="0" xfId="0" applyFont="1"/>
    <xf numFmtId="14" fontId="5" fillId="0" borderId="0" xfId="0" applyNumberFormat="1" applyFont="1" applyAlignment="1"/>
    <xf numFmtId="0" fontId="1" fillId="0" borderId="0" xfId="0" applyFont="1" applyAlignment="1">
      <alignment horizontal="right"/>
    </xf>
    <xf numFmtId="0" fontId="6" fillId="3" borderId="3" xfId="0" applyFont="1" applyFill="1" applyBorder="1" applyAlignment="1" applyProtection="1">
      <alignment horizontal="center" vertical="center"/>
    </xf>
    <xf numFmtId="0" fontId="6" fillId="3" borderId="4" xfId="0" applyFont="1" applyFill="1" applyBorder="1" applyAlignment="1" applyProtection="1">
      <alignment vertical="center"/>
    </xf>
    <xf numFmtId="14" fontId="6" fillId="3" borderId="4" xfId="0" applyNumberFormat="1" applyFont="1" applyFill="1" applyBorder="1" applyAlignment="1" applyProtection="1">
      <alignment vertical="center"/>
    </xf>
    <xf numFmtId="0" fontId="6" fillId="3" borderId="5" xfId="0" applyFont="1" applyFill="1" applyBorder="1" applyAlignment="1" applyProtection="1">
      <alignment vertical="center"/>
    </xf>
    <xf numFmtId="0" fontId="2" fillId="2" borderId="6" xfId="0" applyFont="1" applyFill="1" applyBorder="1" applyAlignment="1" applyProtection="1">
      <alignment vertical="center"/>
    </xf>
    <xf numFmtId="14" fontId="2" fillId="2" borderId="7" xfId="0" applyNumberFormat="1" applyFont="1" applyFill="1" applyBorder="1" applyAlignment="1" applyProtection="1">
      <alignment vertical="center"/>
    </xf>
    <xf numFmtId="0" fontId="7" fillId="0" borderId="1" xfId="51" applyFont="1" applyFill="1" applyBorder="1" applyAlignment="1">
      <alignment vertical="center"/>
    </xf>
    <xf numFmtId="0" fontId="7" fillId="0" borderId="8" xfId="51" applyFont="1" applyFill="1" applyBorder="1" applyAlignment="1">
      <alignment vertical="center"/>
    </xf>
    <xf numFmtId="0" fontId="8" fillId="0" borderId="7" xfId="0" applyFont="1" applyBorder="1"/>
    <xf numFmtId="0" fontId="2" fillId="2" borderId="9" xfId="0" applyFont="1" applyFill="1" applyBorder="1" applyAlignment="1" applyProtection="1">
      <alignment vertical="center"/>
    </xf>
    <xf numFmtId="0" fontId="2" fillId="0" borderId="8" xfId="51" applyFont="1" applyFill="1" applyBorder="1" applyAlignment="1">
      <alignment vertical="center"/>
    </xf>
    <xf numFmtId="14" fontId="2" fillId="2" borderId="8" xfId="0" applyNumberFormat="1" applyFont="1" applyFill="1" applyBorder="1" applyAlignment="1" applyProtection="1">
      <alignment vertical="center"/>
    </xf>
    <xf numFmtId="0" fontId="8" fillId="0" borderId="10" xfId="0" applyFont="1" applyBorder="1"/>
    <xf numFmtId="0" fontId="3" fillId="2" borderId="6" xfId="0" applyFont="1" applyFill="1" applyBorder="1" applyAlignment="1" applyProtection="1">
      <alignment vertical="center"/>
    </xf>
    <xf numFmtId="14" fontId="3" fillId="2" borderId="1" xfId="0" applyNumberFormat="1" applyFont="1" applyFill="1" applyBorder="1" applyAlignment="1" applyProtection="1">
      <alignment vertical="center"/>
    </xf>
    <xf numFmtId="14" fontId="3" fillId="2" borderId="7" xfId="0" applyNumberFormat="1" applyFont="1" applyFill="1" applyBorder="1" applyAlignment="1" applyProtection="1">
      <alignment vertical="center"/>
    </xf>
    <xf numFmtId="0" fontId="9" fillId="2" borderId="6" xfId="0" applyFont="1" applyFill="1" applyBorder="1" applyAlignment="1" applyProtection="1">
      <alignment vertical="center"/>
    </xf>
    <xf numFmtId="0" fontId="9" fillId="0" borderId="1" xfId="51" applyFont="1" applyFill="1" applyBorder="1" applyAlignment="1">
      <alignment vertical="center"/>
    </xf>
    <xf numFmtId="14" fontId="9" fillId="2" borderId="1" xfId="0" applyNumberFormat="1" applyFont="1" applyFill="1" applyBorder="1" applyAlignment="1" applyProtection="1">
      <alignment vertical="center"/>
    </xf>
    <xf numFmtId="14" fontId="9" fillId="2" borderId="7" xfId="0" applyNumberFormat="1" applyFont="1" applyFill="1" applyBorder="1" applyAlignment="1" applyProtection="1">
      <alignment vertical="center"/>
    </xf>
    <xf numFmtId="0" fontId="6" fillId="3" borderId="11" xfId="0" applyFont="1" applyFill="1" applyBorder="1" applyAlignment="1" applyProtection="1">
      <alignment horizontal="center" vertical="center"/>
    </xf>
    <xf numFmtId="0" fontId="6" fillId="3" borderId="12" xfId="0" applyFont="1" applyFill="1" applyBorder="1" applyAlignment="1" applyProtection="1">
      <alignment vertical="center"/>
    </xf>
    <xf numFmtId="14" fontId="6" fillId="3" borderId="12" xfId="0" applyNumberFormat="1" applyFont="1" applyFill="1" applyBorder="1" applyAlignment="1" applyProtection="1">
      <alignment vertical="center"/>
    </xf>
    <xf numFmtId="0" fontId="6" fillId="3" borderId="13" xfId="0" applyFont="1" applyFill="1" applyBorder="1" applyAlignment="1" applyProtection="1">
      <alignment vertical="center"/>
    </xf>
    <xf numFmtId="0" fontId="2" fillId="2" borderId="3" xfId="0" applyFont="1" applyFill="1" applyBorder="1" applyAlignment="1" applyProtection="1">
      <alignment vertical="center"/>
    </xf>
    <xf numFmtId="0" fontId="2" fillId="0" borderId="4" xfId="51" applyFont="1" applyFill="1" applyBorder="1" applyAlignment="1">
      <alignment vertical="center"/>
    </xf>
    <xf numFmtId="14" fontId="2" fillId="2" borderId="4" xfId="0" applyNumberFormat="1" applyFont="1" applyFill="1" applyBorder="1" applyAlignment="1" applyProtection="1">
      <alignment vertical="center"/>
    </xf>
    <xf numFmtId="14" fontId="2" fillId="2" borderId="5" xfId="0" applyNumberFormat="1" applyFont="1" applyFill="1" applyBorder="1" applyAlignment="1" applyProtection="1">
      <alignment vertical="center"/>
    </xf>
    <xf numFmtId="0" fontId="9" fillId="2" borderId="1" xfId="0" applyFont="1" applyFill="1" applyBorder="1" applyAlignment="1" applyProtection="1">
      <alignment vertical="center"/>
    </xf>
    <xf numFmtId="0" fontId="1" fillId="0" borderId="7" xfId="0" applyFont="1" applyBorder="1"/>
    <xf numFmtId="0" fontId="1" fillId="0" borderId="10" xfId="0" applyFont="1" applyBorder="1"/>
    <xf numFmtId="14" fontId="2" fillId="2" borderId="10" xfId="0" applyNumberFormat="1" applyFont="1" applyFill="1" applyBorder="1" applyAlignment="1" applyProtection="1">
      <alignment vertical="center"/>
    </xf>
    <xf numFmtId="14" fontId="2" fillId="2" borderId="0" xfId="0" applyNumberFormat="1" applyFont="1" applyFill="1" applyBorder="1" applyAlignment="1" applyProtection="1">
      <alignment vertical="center"/>
    </xf>
    <xf numFmtId="0" fontId="2" fillId="2" borderId="8" xfId="0" applyFont="1" applyFill="1" applyBorder="1" applyAlignment="1" applyProtection="1">
      <alignment vertical="center"/>
    </xf>
    <xf numFmtId="0" fontId="2" fillId="2" borderId="0" xfId="0" applyFont="1" applyFill="1" applyBorder="1" applyAlignment="1" applyProtection="1">
      <alignment vertical="center"/>
    </xf>
    <xf numFmtId="0" fontId="2" fillId="0" borderId="0" xfId="51" applyFont="1" applyFill="1" applyBorder="1" applyAlignment="1">
      <alignment vertical="center"/>
    </xf>
    <xf numFmtId="0" fontId="1" fillId="0" borderId="14" xfId="0" applyFont="1" applyBorder="1"/>
    <xf numFmtId="0" fontId="1" fillId="0" borderId="0" xfId="0" applyFont="1" applyBorder="1"/>
    <xf numFmtId="0" fontId="1" fillId="0" borderId="15" xfId="0" applyFont="1" applyBorder="1" applyAlignment="1">
      <alignment horizontal="center" wrapText="1"/>
    </xf>
    <xf numFmtId="0" fontId="1" fillId="0" borderId="15" xfId="0" applyFont="1" applyBorder="1" applyAlignment="1">
      <alignment horizontal="center"/>
    </xf>
    <xf numFmtId="14" fontId="9" fillId="2" borderId="10" xfId="0" applyNumberFormat="1" applyFont="1" applyFill="1" applyBorder="1" applyAlignment="1" applyProtection="1">
      <alignment vertical="center"/>
    </xf>
    <xf numFmtId="0" fontId="10" fillId="0" borderId="16" xfId="0" applyFont="1" applyBorder="1"/>
    <xf numFmtId="0" fontId="1" fillId="0" borderId="16" xfId="0" applyFont="1" applyBorder="1"/>
    <xf numFmtId="0" fontId="11" fillId="0" borderId="0" xfId="0" applyFont="1" applyBorder="1"/>
    <xf numFmtId="0" fontId="5" fillId="0" borderId="0" xfId="0" applyFont="1"/>
    <xf numFmtId="14" fontId="2" fillId="2" borderId="14" xfId="0" applyNumberFormat="1" applyFont="1" applyFill="1" applyBorder="1" applyAlignment="1" applyProtection="1">
      <alignment vertical="center"/>
    </xf>
    <xf numFmtId="0" fontId="2" fillId="2" borderId="1" xfId="51" applyFont="1" applyFill="1" applyBorder="1" applyAlignment="1">
      <alignment vertical="center"/>
    </xf>
    <xf numFmtId="0" fontId="2" fillId="0" borderId="17" xfId="51" applyFont="1" applyFill="1" applyBorder="1" applyAlignment="1">
      <alignment vertical="center"/>
    </xf>
    <xf numFmtId="0" fontId="2" fillId="2" borderId="17" xfId="0" applyFont="1" applyFill="1" applyBorder="1" applyAlignment="1" applyProtection="1">
      <alignment vertical="center"/>
    </xf>
    <xf numFmtId="14" fontId="2" fillId="2" borderId="17" xfId="0" applyNumberFormat="1" applyFont="1" applyFill="1" applyBorder="1" applyAlignment="1" applyProtection="1">
      <alignment vertical="center"/>
    </xf>
    <xf numFmtId="0" fontId="12" fillId="0" borderId="8" xfId="0" applyFont="1" applyBorder="1"/>
    <xf numFmtId="0" fontId="1" fillId="0" borderId="8" xfId="0" applyFont="1" applyBorder="1"/>
    <xf numFmtId="0" fontId="9" fillId="0" borderId="8" xfId="51" applyFont="1" applyFill="1" applyBorder="1" applyAlignment="1">
      <alignment vertical="center"/>
    </xf>
    <xf numFmtId="0" fontId="9" fillId="2" borderId="8" xfId="0" applyFont="1" applyFill="1" applyBorder="1" applyAlignment="1" applyProtection="1">
      <alignment vertical="center"/>
    </xf>
    <xf numFmtId="14" fontId="9" fillId="2" borderId="8" xfId="0" applyNumberFormat="1" applyFont="1" applyFill="1" applyBorder="1" applyAlignment="1" applyProtection="1">
      <alignment vertical="center"/>
    </xf>
    <xf numFmtId="0" fontId="2" fillId="2" borderId="17" xfId="51" applyFont="1" applyFill="1" applyBorder="1" applyAlignment="1">
      <alignment vertical="center"/>
    </xf>
    <xf numFmtId="0" fontId="2" fillId="2" borderId="18" xfId="0" applyFont="1" applyFill="1" applyBorder="1" applyAlignment="1" applyProtection="1">
      <alignment vertical="center"/>
    </xf>
    <xf numFmtId="0" fontId="6" fillId="3" borderId="3" xfId="0" applyFont="1" applyFill="1" applyBorder="1" applyAlignment="1" applyProtection="1">
      <alignment vertical="center"/>
    </xf>
    <xf numFmtId="0" fontId="9" fillId="2" borderId="0" xfId="0" applyFont="1" applyFill="1" applyBorder="1" applyAlignment="1" applyProtection="1">
      <alignment vertical="center"/>
    </xf>
    <xf numFmtId="14" fontId="9" fillId="2" borderId="0" xfId="0" applyNumberFormat="1" applyFont="1" applyFill="1" applyBorder="1" applyAlignment="1" applyProtection="1">
      <alignment vertical="center"/>
    </xf>
    <xf numFmtId="14" fontId="2" fillId="2" borderId="7" xfId="0" applyNumberFormat="1" applyFont="1" applyFill="1" applyBorder="1" applyAlignment="1" applyProtection="1">
      <alignment horizontal="right" vertical="center"/>
    </xf>
    <xf numFmtId="0" fontId="2" fillId="4" borderId="1" xfId="51" applyFont="1" applyFill="1" applyBorder="1" applyAlignment="1">
      <alignment vertical="center"/>
    </xf>
    <xf numFmtId="0" fontId="9" fillId="0" borderId="1" xfId="0" applyFont="1" applyFill="1" applyBorder="1" applyAlignment="1" applyProtection="1">
      <alignment vertical="center"/>
    </xf>
    <xf numFmtId="0" fontId="2" fillId="0" borderId="1" xfId="0" applyFont="1" applyFill="1" applyBorder="1" applyAlignment="1" applyProtection="1">
      <alignment vertical="center"/>
    </xf>
    <xf numFmtId="14" fontId="9" fillId="0" borderId="1" xfId="0" applyNumberFormat="1" applyFont="1" applyFill="1" applyBorder="1" applyAlignment="1" applyProtection="1">
      <alignment vertical="center"/>
    </xf>
    <xf numFmtId="0" fontId="6" fillId="3" borderId="1" xfId="0" applyFont="1" applyFill="1" applyBorder="1" applyAlignment="1" applyProtection="1">
      <alignment vertical="center"/>
    </xf>
    <xf numFmtId="14" fontId="6" fillId="3" borderId="1" xfId="0" applyNumberFormat="1" applyFont="1" applyFill="1" applyBorder="1" applyAlignment="1" applyProtection="1">
      <alignment vertical="center"/>
    </xf>
    <xf numFmtId="0" fontId="2" fillId="2" borderId="1" xfId="0" applyFont="1" applyFill="1" applyBorder="1" applyAlignment="1" applyProtection="1">
      <alignment horizontal="right" vertical="center"/>
    </xf>
    <xf numFmtId="14" fontId="5" fillId="0" borderId="0" xfId="0" applyNumberFormat="1" applyFont="1"/>
    <xf numFmtId="0" fontId="13" fillId="2" borderId="1" xfId="0" applyFont="1" applyFill="1" applyBorder="1" applyAlignment="1" applyProtection="1">
      <alignment vertical="center"/>
    </xf>
    <xf numFmtId="0" fontId="13" fillId="0" borderId="1" xfId="51" applyFont="1" applyFill="1" applyBorder="1" applyAlignment="1">
      <alignment vertical="center"/>
    </xf>
    <xf numFmtId="14" fontId="13" fillId="2" borderId="1" xfId="0" applyNumberFormat="1" applyFont="1" applyFill="1" applyBorder="1" applyAlignment="1" applyProtection="1">
      <alignment vertical="center"/>
    </xf>
    <xf numFmtId="0" fontId="0" fillId="5" borderId="0" xfId="0" applyFill="1"/>
    <xf numFmtId="0" fontId="0" fillId="6" borderId="0" xfId="0" applyFill="1"/>
    <xf numFmtId="0" fontId="0" fillId="7" borderId="0" xfId="0" applyFill="1"/>
    <xf numFmtId="0" fontId="14" fillId="5" borderId="0" xfId="0" applyFont="1" applyFill="1"/>
    <xf numFmtId="0" fontId="14" fillId="7" borderId="0" xfId="0" applyFont="1" applyFill="1"/>
    <xf numFmtId="0" fontId="14" fillId="6" borderId="0" xfId="0" applyFont="1" applyFill="1"/>
    <xf numFmtId="0" fontId="14" fillId="4" borderId="0" xfId="0" applyFont="1" applyFill="1"/>
    <xf numFmtId="0" fontId="15" fillId="7" borderId="0" xfId="0" applyFont="1" applyFill="1" applyBorder="1" applyAlignment="1" applyProtection="1">
      <alignment vertical="center"/>
    </xf>
    <xf numFmtId="0" fontId="15" fillId="6" borderId="0" xfId="0" applyFont="1" applyFill="1" applyBorder="1" applyAlignment="1" applyProtection="1">
      <alignment vertical="center"/>
    </xf>
    <xf numFmtId="0" fontId="15" fillId="5" borderId="0" xfId="0" applyFont="1" applyFill="1" applyBorder="1" applyAlignment="1" applyProtection="1">
      <alignment vertical="center"/>
    </xf>
    <xf numFmtId="0" fontId="0" fillId="4" borderId="0" xfId="0" applyFill="1"/>
    <xf numFmtId="0" fontId="15" fillId="2" borderId="0" xfId="0" applyNumberFormat="1" applyFont="1" applyFill="1" applyBorder="1" applyAlignment="1" applyProtection="1">
      <alignment vertical="center"/>
    </xf>
    <xf numFmtId="0" fontId="15" fillId="2" borderId="0" xfId="0" applyFont="1" applyFill="1" applyBorder="1" applyAlignment="1" applyProtection="1">
      <alignment vertical="center"/>
    </xf>
    <xf numFmtId="14" fontId="15" fillId="2" borderId="0" xfId="0" applyNumberFormat="1" applyFont="1" applyFill="1" applyBorder="1" applyAlignment="1" applyProtection="1">
      <alignment vertical="center"/>
    </xf>
    <xf numFmtId="0" fontId="16" fillId="8" borderId="16" xfId="0" applyNumberFormat="1" applyFont="1" applyFill="1" applyBorder="1" applyAlignment="1" applyProtection="1">
      <alignment horizontal="center" vertical="center"/>
    </xf>
    <xf numFmtId="0" fontId="16" fillId="9" borderId="16" xfId="0" applyFont="1" applyFill="1" applyBorder="1" applyAlignment="1" applyProtection="1">
      <alignment horizontal="center" vertical="center"/>
    </xf>
    <xf numFmtId="49" fontId="16" fillId="10" borderId="1" xfId="0" applyNumberFormat="1" applyFont="1" applyFill="1" applyBorder="1" applyAlignment="1" applyProtection="1">
      <alignment vertical="center"/>
    </xf>
    <xf numFmtId="0" fontId="16" fillId="11" borderId="1" xfId="0" applyFont="1" applyFill="1" applyBorder="1" applyAlignment="1" applyProtection="1">
      <alignment vertical="center"/>
    </xf>
    <xf numFmtId="0" fontId="16" fillId="12" borderId="19" xfId="0" applyFont="1" applyFill="1" applyBorder="1" applyAlignment="1" applyProtection="1">
      <alignment horizontal="center" vertical="center"/>
    </xf>
    <xf numFmtId="0" fontId="16" fillId="12" borderId="20" xfId="0" applyFont="1" applyFill="1" applyBorder="1" applyAlignment="1" applyProtection="1">
      <alignment horizontal="center" vertical="center"/>
    </xf>
    <xf numFmtId="0" fontId="16" fillId="13" borderId="21" xfId="0" applyFont="1" applyFill="1" applyBorder="1" applyAlignment="1" applyProtection="1">
      <alignment horizontal="center" vertical="center"/>
    </xf>
    <xf numFmtId="0" fontId="16" fillId="13" borderId="16" xfId="0" applyFont="1" applyFill="1" applyBorder="1" applyAlignment="1" applyProtection="1">
      <alignment horizontal="center" vertical="center"/>
    </xf>
    <xf numFmtId="0" fontId="16" fillId="2" borderId="0" xfId="0" applyFont="1" applyFill="1" applyBorder="1" applyAlignment="1" applyProtection="1">
      <alignment vertical="center"/>
    </xf>
    <xf numFmtId="0" fontId="16" fillId="8" borderId="1" xfId="0" applyNumberFormat="1" applyFont="1" applyFill="1" applyBorder="1" applyAlignment="1" applyProtection="1">
      <alignment vertical="center"/>
    </xf>
    <xf numFmtId="0" fontId="16" fillId="8" borderId="1" xfId="0" applyFont="1" applyFill="1" applyBorder="1" applyAlignment="1" applyProtection="1">
      <alignment vertical="center"/>
    </xf>
    <xf numFmtId="0" fontId="16" fillId="9" borderId="1" xfId="0" applyFont="1" applyFill="1" applyBorder="1" applyAlignment="1" applyProtection="1">
      <alignment vertical="center"/>
    </xf>
    <xf numFmtId="14" fontId="16" fillId="9" borderId="1" xfId="0" applyNumberFormat="1" applyFont="1" applyFill="1" applyBorder="1" applyAlignment="1" applyProtection="1">
      <alignment vertical="center"/>
    </xf>
    <xf numFmtId="0" fontId="16" fillId="10" borderId="1" xfId="0" applyFont="1" applyFill="1" applyBorder="1" applyAlignment="1" applyProtection="1">
      <alignment vertical="center"/>
    </xf>
    <xf numFmtId="0" fontId="16" fillId="10" borderId="1" xfId="0" applyNumberFormat="1" applyFont="1" applyFill="1" applyBorder="1" applyAlignment="1" applyProtection="1">
      <alignment vertical="center"/>
    </xf>
    <xf numFmtId="0" fontId="16" fillId="10" borderId="17" xfId="0" applyFont="1" applyFill="1" applyBorder="1" applyAlignment="1" applyProtection="1">
      <alignment vertical="center"/>
    </xf>
    <xf numFmtId="14" fontId="16" fillId="10" borderId="17" xfId="0" applyNumberFormat="1" applyFont="1" applyFill="1" applyBorder="1" applyAlignment="1" applyProtection="1">
      <alignment vertical="center"/>
    </xf>
    <xf numFmtId="0" fontId="16" fillId="11" borderId="1" xfId="0" applyNumberFormat="1" applyFont="1" applyFill="1" applyBorder="1" applyAlignment="1" applyProtection="1">
      <alignment vertical="center"/>
    </xf>
    <xf numFmtId="0" fontId="16" fillId="12" borderId="1" xfId="0" applyFont="1" applyFill="1" applyBorder="1" applyAlignment="1" applyProtection="1">
      <alignment vertical="center"/>
    </xf>
    <xf numFmtId="0" fontId="16" fillId="13" borderId="1" xfId="0" applyFont="1" applyFill="1" applyBorder="1" applyAlignment="1" applyProtection="1">
      <alignment vertical="center"/>
    </xf>
    <xf numFmtId="14" fontId="16" fillId="13" borderId="1" xfId="0" applyNumberFormat="1" applyFont="1" applyFill="1" applyBorder="1" applyAlignment="1" applyProtection="1">
      <alignment vertical="center"/>
    </xf>
    <xf numFmtId="0" fontId="16" fillId="13" borderId="1" xfId="0" applyNumberFormat="1" applyFont="1" applyFill="1" applyBorder="1" applyAlignment="1" applyProtection="1">
      <alignment vertical="center"/>
    </xf>
    <xf numFmtId="0" fontId="16" fillId="14" borderId="1" xfId="0" applyFont="1" applyFill="1" applyBorder="1" applyAlignment="1" applyProtection="1">
      <alignment vertical="center"/>
    </xf>
    <xf numFmtId="0" fontId="15" fillId="5" borderId="1" xfId="0" applyNumberFormat="1" applyFont="1" applyFill="1" applyBorder="1" applyAlignment="1" applyProtection="1">
      <alignment vertical="center"/>
    </xf>
    <xf numFmtId="0" fontId="15" fillId="7" borderId="1" xfId="0" applyFont="1" applyFill="1" applyBorder="1" applyAlignment="1" applyProtection="1">
      <alignment vertical="center"/>
    </xf>
    <xf numFmtId="0" fontId="17" fillId="7" borderId="22" xfId="0" applyFont="1" applyFill="1" applyBorder="1" applyAlignment="1" applyProtection="1">
      <alignment vertical="center"/>
    </xf>
    <xf numFmtId="0" fontId="17" fillId="7" borderId="1" xfId="0" applyFont="1" applyFill="1" applyBorder="1" applyAlignment="1" applyProtection="1">
      <alignment vertical="center"/>
    </xf>
    <xf numFmtId="14" fontId="15" fillId="7" borderId="1" xfId="0" applyNumberFormat="1" applyFont="1" applyFill="1" applyBorder="1" applyAlignment="1" applyProtection="1">
      <alignment vertical="center"/>
    </xf>
    <xf numFmtId="0" fontId="15" fillId="7" borderId="1" xfId="51" applyFont="1" applyFill="1" applyBorder="1" applyAlignment="1">
      <alignment vertical="center"/>
    </xf>
    <xf numFmtId="14" fontId="17" fillId="7" borderId="1" xfId="0" applyNumberFormat="1" applyFont="1" applyFill="1" applyBorder="1" applyAlignment="1" applyProtection="1">
      <alignment vertical="center"/>
    </xf>
    <xf numFmtId="0" fontId="17" fillId="7" borderId="1" xfId="0" applyNumberFormat="1" applyFont="1" applyFill="1" applyBorder="1" applyAlignment="1" applyProtection="1">
      <alignment vertical="center"/>
    </xf>
    <xf numFmtId="0" fontId="15" fillId="7" borderId="1" xfId="0" applyFont="1" applyFill="1" applyBorder="1" applyAlignment="1" applyProtection="1">
      <alignment vertical="center" wrapText="1"/>
    </xf>
    <xf numFmtId="176" fontId="15" fillId="7" borderId="1" xfId="0" applyNumberFormat="1" applyFont="1" applyFill="1" applyBorder="1" applyAlignment="1" applyProtection="1">
      <alignment vertical="center"/>
    </xf>
    <xf numFmtId="0" fontId="15" fillId="7" borderId="1" xfId="0" applyNumberFormat="1" applyFont="1" applyFill="1" applyBorder="1" applyAlignment="1" applyProtection="1">
      <alignment vertical="center"/>
    </xf>
    <xf numFmtId="0" fontId="15" fillId="7" borderId="19" xfId="0" applyFont="1" applyFill="1" applyBorder="1" applyAlignment="1" applyProtection="1">
      <alignment vertical="center"/>
    </xf>
    <xf numFmtId="0" fontId="15" fillId="7" borderId="19" xfId="0" applyNumberFormat="1" applyFont="1" applyFill="1" applyBorder="1" applyAlignment="1" applyProtection="1">
      <alignment vertical="center"/>
    </xf>
    <xf numFmtId="177" fontId="17" fillId="7" borderId="1" xfId="0" applyNumberFormat="1" applyFont="1" applyFill="1" applyBorder="1" applyAlignment="1" applyProtection="1">
      <alignment vertical="center"/>
    </xf>
    <xf numFmtId="0" fontId="17" fillId="7" borderId="19" xfId="0" applyFont="1" applyFill="1" applyBorder="1" applyAlignment="1" applyProtection="1">
      <alignment vertical="center"/>
    </xf>
    <xf numFmtId="0" fontId="15" fillId="5" borderId="1" xfId="0" applyFont="1" applyFill="1" applyBorder="1" applyAlignment="1" applyProtection="1">
      <alignment vertical="center"/>
    </xf>
    <xf numFmtId="0" fontId="17" fillId="5" borderId="22" xfId="0" applyFont="1" applyFill="1" applyBorder="1" applyAlignment="1" applyProtection="1">
      <alignment vertical="center"/>
    </xf>
    <xf numFmtId="0" fontId="17" fillId="5" borderId="1" xfId="0" applyFont="1" applyFill="1" applyBorder="1" applyAlignment="1" applyProtection="1">
      <alignment vertical="center"/>
    </xf>
    <xf numFmtId="14" fontId="15" fillId="5" borderId="1" xfId="0" applyNumberFormat="1" applyFont="1" applyFill="1" applyBorder="1" applyAlignment="1" applyProtection="1">
      <alignment vertical="center"/>
    </xf>
    <xf numFmtId="0" fontId="15" fillId="5" borderId="1" xfId="51" applyFont="1" applyFill="1" applyBorder="1" applyAlignment="1">
      <alignment vertical="center"/>
    </xf>
    <xf numFmtId="14" fontId="17" fillId="5" borderId="1" xfId="0" applyNumberFormat="1" applyFont="1" applyFill="1" applyBorder="1" applyAlignment="1" applyProtection="1">
      <alignment vertical="center"/>
    </xf>
    <xf numFmtId="0" fontId="17" fillId="5" borderId="1" xfId="0" applyNumberFormat="1" applyFont="1" applyFill="1" applyBorder="1" applyAlignment="1" applyProtection="1">
      <alignment vertical="center"/>
    </xf>
    <xf numFmtId="0" fontId="15" fillId="5" borderId="1" xfId="0" applyFont="1" applyFill="1" applyBorder="1" applyAlignment="1" applyProtection="1">
      <alignment vertical="center" wrapText="1"/>
    </xf>
    <xf numFmtId="176" fontId="15" fillId="5" borderId="1" xfId="0" applyNumberFormat="1" applyFont="1" applyFill="1" applyBorder="1" applyAlignment="1" applyProtection="1">
      <alignment vertical="center"/>
    </xf>
    <xf numFmtId="0" fontId="15" fillId="5" borderId="19" xfId="0" applyFont="1" applyFill="1" applyBorder="1" applyAlignment="1" applyProtection="1">
      <alignment vertical="center"/>
    </xf>
    <xf numFmtId="0" fontId="15" fillId="5" borderId="19" xfId="0" applyNumberFormat="1" applyFont="1" applyFill="1" applyBorder="1" applyAlignment="1" applyProtection="1">
      <alignment vertical="center"/>
    </xf>
    <xf numFmtId="177" fontId="17" fillId="5" borderId="1" xfId="0" applyNumberFormat="1" applyFont="1" applyFill="1" applyBorder="1" applyAlignment="1" applyProtection="1">
      <alignment vertical="center"/>
    </xf>
    <xf numFmtId="0" fontId="17" fillId="5" borderId="19" xfId="0" applyFont="1" applyFill="1" applyBorder="1" applyAlignment="1" applyProtection="1">
      <alignment vertical="center"/>
    </xf>
    <xf numFmtId="14" fontId="18" fillId="5" borderId="1" xfId="0" applyNumberFormat="1" applyFont="1" applyFill="1" applyBorder="1" applyAlignment="1">
      <alignment horizontal="right" vertical="center"/>
    </xf>
    <xf numFmtId="0" fontId="17" fillId="5" borderId="1" xfId="0" applyFont="1" applyFill="1" applyBorder="1" applyAlignment="1" applyProtection="1">
      <alignment vertical="center" wrapText="1"/>
    </xf>
    <xf numFmtId="176" fontId="17" fillId="5" borderId="1" xfId="0" applyNumberFormat="1" applyFont="1" applyFill="1" applyBorder="1" applyAlignment="1" applyProtection="1">
      <alignment vertical="center"/>
    </xf>
    <xf numFmtId="0" fontId="17" fillId="5" borderId="19" xfId="0" applyNumberFormat="1" applyFont="1" applyFill="1" applyBorder="1" applyAlignment="1" applyProtection="1">
      <alignment vertical="center"/>
    </xf>
    <xf numFmtId="14" fontId="15" fillId="7" borderId="1" xfId="0" applyNumberFormat="1" applyFont="1" applyFill="1" applyBorder="1" applyAlignment="1">
      <alignment horizontal="right" vertical="center"/>
    </xf>
    <xf numFmtId="0" fontId="17" fillId="7" borderId="1" xfId="0" applyFont="1" applyFill="1" applyBorder="1" applyAlignment="1" applyProtection="1">
      <alignment vertical="center" wrapText="1"/>
    </xf>
    <xf numFmtId="176" fontId="17" fillId="7" borderId="1" xfId="0" applyNumberFormat="1" applyFont="1" applyFill="1" applyBorder="1" applyAlignment="1" applyProtection="1">
      <alignment vertical="center"/>
    </xf>
    <xf numFmtId="0" fontId="17" fillId="7" borderId="19" xfId="0" applyNumberFormat="1" applyFont="1" applyFill="1" applyBorder="1" applyAlignment="1" applyProtection="1">
      <alignment vertical="center"/>
    </xf>
    <xf numFmtId="0" fontId="15" fillId="6" borderId="1" xfId="0" applyFont="1" applyFill="1" applyBorder="1" applyAlignment="1" applyProtection="1">
      <alignment vertical="center"/>
    </xf>
    <xf numFmtId="0" fontId="17" fillId="6" borderId="22" xfId="0" applyFont="1" applyFill="1" applyBorder="1" applyAlignment="1" applyProtection="1">
      <alignment vertical="center"/>
    </xf>
    <xf numFmtId="0" fontId="17" fillId="6" borderId="1" xfId="0" applyFont="1" applyFill="1" applyBorder="1" applyAlignment="1" applyProtection="1">
      <alignment vertical="center"/>
    </xf>
    <xf numFmtId="0" fontId="15" fillId="6" borderId="1" xfId="51" applyFont="1" applyFill="1" applyBorder="1" applyAlignment="1">
      <alignment vertical="center"/>
    </xf>
    <xf numFmtId="14" fontId="15" fillId="6" borderId="1" xfId="0" applyNumberFormat="1" applyFont="1" applyFill="1" applyBorder="1" applyAlignment="1">
      <alignment horizontal="right" vertical="center"/>
    </xf>
    <xf numFmtId="14" fontId="17" fillId="6" borderId="1" xfId="0" applyNumberFormat="1" applyFont="1" applyFill="1" applyBorder="1" applyAlignment="1" applyProtection="1">
      <alignment vertical="center"/>
    </xf>
    <xf numFmtId="0" fontId="17" fillId="6" borderId="1" xfId="0" applyNumberFormat="1" applyFont="1" applyFill="1" applyBorder="1" applyAlignment="1" applyProtection="1">
      <alignment vertical="center"/>
    </xf>
    <xf numFmtId="0" fontId="17" fillId="6" borderId="1" xfId="0" applyFont="1" applyFill="1" applyBorder="1" applyAlignment="1" applyProtection="1">
      <alignment vertical="center" wrapText="1"/>
    </xf>
    <xf numFmtId="176" fontId="17" fillId="6" borderId="1" xfId="0" applyNumberFormat="1" applyFont="1" applyFill="1" applyBorder="1" applyAlignment="1" applyProtection="1">
      <alignment vertical="center"/>
    </xf>
    <xf numFmtId="0" fontId="17" fillId="6" borderId="19" xfId="0" applyFont="1" applyFill="1" applyBorder="1" applyAlignment="1" applyProtection="1">
      <alignment vertical="center"/>
    </xf>
    <xf numFmtId="0" fontId="17" fillId="6" borderId="19" xfId="0" applyNumberFormat="1" applyFont="1" applyFill="1" applyBorder="1" applyAlignment="1" applyProtection="1">
      <alignment vertical="center"/>
    </xf>
    <xf numFmtId="0" fontId="19" fillId="5" borderId="22" xfId="0" applyFont="1" applyFill="1" applyBorder="1" applyAlignment="1" applyProtection="1">
      <alignment vertical="center"/>
    </xf>
    <xf numFmtId="14" fontId="15" fillId="6" borderId="1" xfId="0" applyNumberFormat="1" applyFont="1" applyFill="1" applyBorder="1" applyAlignment="1" applyProtection="1">
      <alignment vertical="center"/>
    </xf>
    <xf numFmtId="0" fontId="15" fillId="6" borderId="1" xfId="6" applyNumberFormat="1" applyFont="1" applyFill="1" applyBorder="1" applyAlignment="1" applyProtection="1">
      <alignment vertical="center"/>
    </xf>
    <xf numFmtId="0" fontId="15" fillId="6" borderId="19" xfId="6" applyFont="1" applyFill="1" applyBorder="1" applyAlignment="1" applyProtection="1">
      <alignment vertical="center"/>
    </xf>
    <xf numFmtId="0" fontId="17" fillId="7" borderId="0" xfId="0" applyFont="1" applyFill="1" applyBorder="1" applyAlignment="1" applyProtection="1">
      <alignment vertical="center"/>
    </xf>
    <xf numFmtId="177" fontId="17" fillId="6" borderId="1" xfId="0" applyNumberFormat="1" applyFont="1" applyFill="1" applyBorder="1" applyAlignment="1" applyProtection="1">
      <alignment vertical="center"/>
    </xf>
    <xf numFmtId="14" fontId="15" fillId="5" borderId="1" xfId="0" applyNumberFormat="1" applyFont="1" applyFill="1" applyBorder="1" applyAlignment="1">
      <alignment horizontal="right" vertical="center"/>
    </xf>
    <xf numFmtId="0" fontId="15" fillId="7" borderId="1" xfId="6" applyNumberFormat="1" applyFont="1" applyFill="1" applyBorder="1" applyAlignment="1" applyProtection="1">
      <alignment vertical="center"/>
    </xf>
    <xf numFmtId="0" fontId="15" fillId="7" borderId="19" xfId="6" applyNumberFormat="1" applyFont="1" applyFill="1" applyBorder="1" applyAlignment="1" applyProtection="1">
      <alignment vertical="center"/>
    </xf>
    <xf numFmtId="0" fontId="15" fillId="7" borderId="19" xfId="6" applyFont="1" applyFill="1" applyBorder="1" applyAlignment="1" applyProtection="1">
      <alignment vertical="center"/>
    </xf>
    <xf numFmtId="14" fontId="17" fillId="7" borderId="19" xfId="0" applyNumberFormat="1" applyFont="1" applyFill="1" applyBorder="1" applyAlignment="1" applyProtection="1">
      <alignment vertical="center"/>
    </xf>
    <xf numFmtId="14" fontId="15" fillId="7" borderId="19" xfId="0" applyNumberFormat="1" applyFont="1" applyFill="1" applyBorder="1" applyAlignment="1" applyProtection="1">
      <alignment vertical="center"/>
    </xf>
    <xf numFmtId="49" fontId="15" fillId="5" borderId="1" xfId="51" applyNumberFormat="1" applyFont="1" applyFill="1" applyBorder="1" applyAlignment="1">
      <alignment vertical="center"/>
    </xf>
    <xf numFmtId="177" fontId="17" fillId="5" borderId="19" xfId="0" applyNumberFormat="1" applyFont="1" applyFill="1" applyBorder="1" applyAlignment="1" applyProtection="1">
      <alignment vertical="center"/>
    </xf>
    <xf numFmtId="49" fontId="15" fillId="7" borderId="1" xfId="51" applyNumberFormat="1" applyFont="1" applyFill="1" applyBorder="1" applyAlignment="1">
      <alignment vertical="center"/>
    </xf>
    <xf numFmtId="0" fontId="15" fillId="5" borderId="1" xfId="6" applyNumberFormat="1" applyFont="1" applyFill="1" applyBorder="1" applyAlignment="1" applyProtection="1">
      <alignment vertical="center"/>
    </xf>
    <xf numFmtId="0" fontId="15" fillId="5" borderId="19" xfId="6" applyNumberFormat="1" applyFont="1" applyFill="1" applyBorder="1" applyAlignment="1" applyProtection="1">
      <alignment vertical="center"/>
    </xf>
    <xf numFmtId="0" fontId="15" fillId="5" borderId="19" xfId="6" applyFont="1" applyFill="1" applyBorder="1" applyAlignment="1" applyProtection="1">
      <alignment vertical="center"/>
    </xf>
    <xf numFmtId="49" fontId="15" fillId="6" borderId="1" xfId="51" applyNumberFormat="1" applyFont="1" applyFill="1" applyBorder="1" applyAlignment="1">
      <alignment vertical="center"/>
    </xf>
    <xf numFmtId="0" fontId="15" fillId="6" borderId="19" xfId="6" applyNumberFormat="1" applyFont="1" applyFill="1" applyBorder="1" applyAlignment="1" applyProtection="1">
      <alignment vertical="center"/>
    </xf>
    <xf numFmtId="0" fontId="15" fillId="7" borderId="1" xfId="6" applyFont="1" applyFill="1" applyBorder="1" applyAlignment="1" applyProtection="1">
      <alignment vertical="center"/>
    </xf>
    <xf numFmtId="58" fontId="15" fillId="7" borderId="1" xfId="0" applyNumberFormat="1" applyFont="1" applyFill="1" applyBorder="1" applyAlignment="1" applyProtection="1">
      <alignment vertical="center"/>
    </xf>
    <xf numFmtId="0" fontId="15" fillId="6" borderId="1" xfId="0" applyNumberFormat="1" applyFont="1" applyFill="1" applyBorder="1" applyAlignment="1" applyProtection="1">
      <alignment vertical="center"/>
    </xf>
    <xf numFmtId="0" fontId="15" fillId="4" borderId="1" xfId="0" applyNumberFormat="1" applyFont="1" applyFill="1" applyBorder="1" applyAlignment="1" applyProtection="1">
      <alignment vertical="center"/>
    </xf>
    <xf numFmtId="14" fontId="15" fillId="4" borderId="1" xfId="0" applyNumberFormat="1" applyFont="1" applyFill="1" applyBorder="1" applyAlignment="1" applyProtection="1">
      <alignment vertical="center"/>
    </xf>
    <xf numFmtId="0" fontId="17" fillId="4" borderId="1" xfId="0" applyFont="1" applyFill="1" applyBorder="1" applyAlignment="1" applyProtection="1">
      <alignment vertical="center"/>
    </xf>
    <xf numFmtId="0" fontId="15" fillId="4" borderId="1" xfId="0" applyFont="1" applyFill="1" applyBorder="1" applyAlignment="1" applyProtection="1">
      <alignment vertical="center"/>
    </xf>
    <xf numFmtId="0" fontId="15" fillId="4" borderId="1" xfId="51" applyFont="1" applyFill="1" applyBorder="1" applyAlignment="1">
      <alignment vertical="center"/>
    </xf>
    <xf numFmtId="49" fontId="15" fillId="4" borderId="1" xfId="51" applyNumberFormat="1" applyFont="1" applyFill="1" applyBorder="1" applyAlignment="1">
      <alignment vertical="center"/>
    </xf>
    <xf numFmtId="14" fontId="17" fillId="4" borderId="1" xfId="0" applyNumberFormat="1" applyFont="1" applyFill="1" applyBorder="1" applyAlignment="1" applyProtection="1">
      <alignment vertical="center"/>
    </xf>
    <xf numFmtId="0" fontId="17" fillId="4" borderId="1" xfId="0" applyFont="1" applyFill="1" applyBorder="1" applyAlignment="1" applyProtection="1">
      <alignment vertical="center" wrapText="1"/>
    </xf>
    <xf numFmtId="176" fontId="17" fillId="4" borderId="1" xfId="0" applyNumberFormat="1" applyFont="1" applyFill="1" applyBorder="1" applyAlignment="1" applyProtection="1">
      <alignment vertical="center"/>
    </xf>
    <xf numFmtId="0" fontId="15" fillId="4" borderId="19" xfId="6" applyNumberFormat="1" applyFont="1" applyFill="1" applyBorder="1" applyAlignment="1" applyProtection="1">
      <alignment vertical="center"/>
    </xf>
    <xf numFmtId="0" fontId="15" fillId="4" borderId="19" xfId="51" applyFont="1" applyFill="1" applyBorder="1" applyAlignment="1">
      <alignment vertical="center"/>
    </xf>
    <xf numFmtId="0" fontId="15" fillId="4" borderId="19" xfId="6" applyFont="1" applyFill="1" applyBorder="1" applyAlignment="1" applyProtection="1">
      <alignment vertical="center"/>
    </xf>
    <xf numFmtId="0" fontId="17" fillId="4" borderId="19" xfId="0" applyFont="1" applyFill="1" applyBorder="1" applyAlignment="1" applyProtection="1">
      <alignment vertical="center"/>
    </xf>
    <xf numFmtId="0" fontId="17" fillId="4" borderId="19" xfId="0" applyNumberFormat="1" applyFont="1" applyFill="1" applyBorder="1" applyAlignment="1" applyProtection="1">
      <alignment vertical="center"/>
    </xf>
    <xf numFmtId="177" fontId="17" fillId="4" borderId="1" xfId="0" applyNumberFormat="1" applyFont="1" applyFill="1" applyBorder="1" applyAlignment="1" applyProtection="1">
      <alignment vertical="center"/>
    </xf>
    <xf numFmtId="0" fontId="15" fillId="5" borderId="1" xfId="6" applyFont="1" applyFill="1" applyBorder="1" applyAlignment="1" applyProtection="1">
      <alignment vertical="center"/>
    </xf>
    <xf numFmtId="0" fontId="15" fillId="5" borderId="19" xfId="51" applyFont="1" applyFill="1" applyBorder="1" applyAlignment="1">
      <alignment vertical="center"/>
    </xf>
    <xf numFmtId="0" fontId="15" fillId="6" borderId="19" xfId="51" applyFont="1" applyFill="1" applyBorder="1" applyAlignment="1">
      <alignment vertical="center"/>
    </xf>
    <xf numFmtId="0" fontId="15" fillId="6" borderId="1" xfId="6" applyFont="1" applyFill="1" applyBorder="1" applyAlignment="1" applyProtection="1">
      <alignment vertical="center"/>
    </xf>
    <xf numFmtId="0" fontId="17" fillId="5" borderId="1" xfId="6" applyNumberFormat="1" applyFont="1" applyFill="1" applyBorder="1" applyAlignment="1" applyProtection="1">
      <alignment vertical="center"/>
    </xf>
    <xf numFmtId="0" fontId="15" fillId="5" borderId="17" xfId="51" applyFont="1" applyFill="1" applyBorder="1" applyAlignment="1">
      <alignment vertical="center"/>
    </xf>
    <xf numFmtId="0" fontId="20" fillId="5" borderId="1" xfId="0" applyFont="1" applyFill="1" applyBorder="1" applyAlignment="1" applyProtection="1">
      <alignment vertical="center"/>
    </xf>
    <xf numFmtId="14" fontId="15" fillId="2" borderId="1" xfId="0" applyNumberFormat="1" applyFont="1" applyFill="1" applyBorder="1" applyAlignment="1" applyProtection="1">
      <alignment vertical="center"/>
    </xf>
    <xf numFmtId="0" fontId="15" fillId="0" borderId="1" xfId="0" applyFont="1" applyFill="1" applyBorder="1" applyAlignment="1" applyProtection="1">
      <alignment vertical="center"/>
    </xf>
    <xf numFmtId="0" fontId="17" fillId="5" borderId="0" xfId="0" applyFont="1" applyFill="1" applyBorder="1" applyAlignment="1" applyProtection="1">
      <alignment vertical="center"/>
    </xf>
    <xf numFmtId="0" fontId="15" fillId="7" borderId="19" xfId="51" applyFont="1" applyFill="1" applyBorder="1" applyAlignment="1">
      <alignment vertical="center"/>
    </xf>
    <xf numFmtId="14" fontId="15" fillId="7" borderId="0" xfId="0" applyNumberFormat="1" applyFont="1" applyFill="1" applyBorder="1" applyAlignment="1" applyProtection="1">
      <alignment vertical="center"/>
    </xf>
    <xf numFmtId="14" fontId="17" fillId="7" borderId="0" xfId="0" applyNumberFormat="1" applyFont="1" applyFill="1" applyBorder="1" applyAlignment="1" applyProtection="1">
      <alignment vertical="center"/>
    </xf>
    <xf numFmtId="177" fontId="17" fillId="7" borderId="0" xfId="0" applyNumberFormat="1" applyFont="1" applyFill="1" applyBorder="1" applyAlignment="1" applyProtection="1">
      <alignment vertical="center"/>
    </xf>
    <xf numFmtId="0" fontId="15" fillId="7" borderId="22" xfId="0" applyFont="1" applyFill="1" applyBorder="1" applyAlignment="1" applyProtection="1">
      <alignment vertical="center"/>
    </xf>
    <xf numFmtId="176" fontId="17" fillId="5" borderId="1" xfId="0" applyNumberFormat="1" applyFont="1" applyFill="1" applyBorder="1" applyAlignment="1" applyProtection="1">
      <alignment horizontal="right" vertical="center"/>
    </xf>
    <xf numFmtId="0" fontId="17" fillId="5" borderId="1" xfId="0" applyNumberFormat="1" applyFont="1" applyFill="1" applyBorder="1" applyAlignment="1" applyProtection="1">
      <alignment horizontal="right" vertical="center"/>
    </xf>
    <xf numFmtId="0" fontId="15" fillId="5" borderId="17" xfId="0" applyNumberFormat="1" applyFont="1" applyFill="1" applyBorder="1" applyAlignment="1" applyProtection="1">
      <alignment vertical="center"/>
    </xf>
    <xf numFmtId="14" fontId="15" fillId="5" borderId="17" xfId="0" applyNumberFormat="1" applyFont="1" applyFill="1" applyBorder="1" applyAlignment="1" applyProtection="1">
      <alignment vertical="center"/>
    </xf>
    <xf numFmtId="0" fontId="17" fillId="5" borderId="17" xfId="0" applyFont="1" applyFill="1" applyBorder="1" applyAlignment="1" applyProtection="1">
      <alignment vertical="center"/>
    </xf>
    <xf numFmtId="0" fontId="15" fillId="5" borderId="17" xfId="0" applyFont="1" applyFill="1" applyBorder="1" applyAlignment="1" applyProtection="1">
      <alignment vertical="center"/>
    </xf>
    <xf numFmtId="14" fontId="17" fillId="5" borderId="17" xfId="0" applyNumberFormat="1" applyFont="1" applyFill="1" applyBorder="1" applyAlignment="1" applyProtection="1">
      <alignment vertical="center"/>
    </xf>
    <xf numFmtId="49" fontId="15" fillId="5" borderId="17" xfId="51" applyNumberFormat="1" applyFont="1" applyFill="1" applyBorder="1" applyAlignment="1">
      <alignment vertical="center"/>
    </xf>
    <xf numFmtId="0" fontId="17" fillId="5" borderId="17" xfId="0" applyNumberFormat="1" applyFont="1" applyFill="1" applyBorder="1" applyAlignment="1" applyProtection="1">
      <alignment vertical="center"/>
    </xf>
    <xf numFmtId="0" fontId="17" fillId="5" borderId="17" xfId="0" applyFont="1" applyFill="1" applyBorder="1" applyAlignment="1" applyProtection="1">
      <alignment vertical="center" wrapText="1"/>
    </xf>
    <xf numFmtId="176" fontId="17" fillId="5" borderId="17" xfId="0" applyNumberFormat="1" applyFont="1" applyFill="1" applyBorder="1" applyAlignment="1" applyProtection="1">
      <alignment vertical="center"/>
    </xf>
    <xf numFmtId="0" fontId="17" fillId="5" borderId="23" xfId="0" applyFont="1" applyFill="1" applyBorder="1" applyAlignment="1" applyProtection="1">
      <alignment vertical="center"/>
    </xf>
    <xf numFmtId="0" fontId="17" fillId="5" borderId="23" xfId="0" applyNumberFormat="1" applyFont="1" applyFill="1" applyBorder="1" applyAlignment="1" applyProtection="1">
      <alignment vertical="center"/>
    </xf>
    <xf numFmtId="177" fontId="17" fillId="5" borderId="17" xfId="0" applyNumberFormat="1" applyFont="1" applyFill="1" applyBorder="1" applyAlignment="1" applyProtection="1">
      <alignment vertical="center"/>
    </xf>
    <xf numFmtId="14" fontId="15" fillId="7" borderId="17" xfId="0" applyNumberFormat="1" applyFont="1" applyFill="1" applyBorder="1" applyAlignment="1" applyProtection="1">
      <alignment vertical="center"/>
    </xf>
    <xf numFmtId="0" fontId="17" fillId="7" borderId="17" xfId="0" applyFont="1" applyFill="1" applyBorder="1" applyAlignment="1" applyProtection="1">
      <alignment vertical="center"/>
    </xf>
    <xf numFmtId="0" fontId="15" fillId="7" borderId="17" xfId="0" applyNumberFormat="1" applyFont="1" applyFill="1" applyBorder="1" applyAlignment="1" applyProtection="1">
      <alignment vertical="center"/>
    </xf>
    <xf numFmtId="0" fontId="15" fillId="7" borderId="17" xfId="51" applyFont="1" applyFill="1" applyBorder="1" applyAlignment="1">
      <alignment vertical="center"/>
    </xf>
    <xf numFmtId="0" fontId="15" fillId="7" borderId="17" xfId="0" applyFont="1" applyFill="1" applyBorder="1" applyAlignment="1" applyProtection="1">
      <alignment vertical="center"/>
    </xf>
    <xf numFmtId="49" fontId="15" fillId="7" borderId="17" xfId="51" applyNumberFormat="1" applyFont="1" applyFill="1" applyBorder="1" applyAlignment="1">
      <alignment vertical="center"/>
    </xf>
    <xf numFmtId="14" fontId="17" fillId="7" borderId="17" xfId="0" applyNumberFormat="1" applyFont="1" applyFill="1" applyBorder="1" applyAlignment="1" applyProtection="1">
      <alignment vertical="center"/>
    </xf>
    <xf numFmtId="0" fontId="17" fillId="7" borderId="17" xfId="0" applyFont="1" applyFill="1" applyBorder="1" applyAlignment="1" applyProtection="1">
      <alignment vertical="center" wrapText="1"/>
    </xf>
    <xf numFmtId="176" fontId="17" fillId="7" borderId="17" xfId="0" applyNumberFormat="1" applyFont="1" applyFill="1" applyBorder="1" applyAlignment="1" applyProtection="1">
      <alignment vertical="center"/>
    </xf>
    <xf numFmtId="0" fontId="15" fillId="7" borderId="17" xfId="6" applyNumberFormat="1" applyFont="1" applyFill="1" applyBorder="1" applyAlignment="1" applyProtection="1">
      <alignment vertical="center"/>
    </xf>
    <xf numFmtId="0" fontId="15" fillId="7" borderId="23" xfId="6" applyFont="1" applyFill="1" applyBorder="1" applyAlignment="1" applyProtection="1">
      <alignment vertical="center"/>
    </xf>
    <xf numFmtId="0" fontId="17" fillId="7" borderId="23" xfId="0" applyFont="1" applyFill="1" applyBorder="1" applyAlignment="1" applyProtection="1">
      <alignment vertical="center"/>
    </xf>
    <xf numFmtId="0" fontId="17" fillId="7" borderId="23" xfId="0" applyNumberFormat="1" applyFont="1" applyFill="1" applyBorder="1" applyAlignment="1" applyProtection="1">
      <alignment vertical="center"/>
    </xf>
    <xf numFmtId="177" fontId="17" fillId="7" borderId="17" xfId="0" applyNumberFormat="1" applyFont="1" applyFill="1" applyBorder="1" applyAlignment="1" applyProtection="1">
      <alignment vertical="center"/>
    </xf>
    <xf numFmtId="14" fontId="15" fillId="5" borderId="0" xfId="0" applyNumberFormat="1" applyFont="1" applyFill="1" applyBorder="1" applyAlignment="1" applyProtection="1">
      <alignment vertical="center"/>
    </xf>
    <xf numFmtId="0" fontId="17" fillId="5" borderId="19" xfId="0" applyNumberFormat="1" applyFont="1" applyFill="1" applyBorder="1" applyAlignment="1" applyProtection="1">
      <alignment horizontal="right" vertical="center"/>
    </xf>
    <xf numFmtId="0" fontId="17" fillId="5" borderId="19" xfId="6" applyNumberFormat="1" applyFont="1" applyFill="1" applyBorder="1" applyAlignment="1" applyProtection="1">
      <alignment vertical="center"/>
    </xf>
    <xf numFmtId="0" fontId="17" fillId="4" borderId="1" xfId="0" applyNumberFormat="1" applyFont="1" applyFill="1" applyBorder="1" applyAlignment="1" applyProtection="1">
      <alignment vertical="center"/>
    </xf>
    <xf numFmtId="176" fontId="17" fillId="4" borderId="1" xfId="0" applyNumberFormat="1" applyFont="1" applyFill="1" applyBorder="1" applyAlignment="1" applyProtection="1">
      <alignment horizontal="right" vertical="center"/>
    </xf>
    <xf numFmtId="0" fontId="17" fillId="4" borderId="19" xfId="0" applyNumberFormat="1" applyFont="1" applyFill="1" applyBorder="1" applyAlignment="1" applyProtection="1">
      <alignment horizontal="right" vertical="center"/>
    </xf>
    <xf numFmtId="0" fontId="17" fillId="4" borderId="19" xfId="6" applyNumberFormat="1" applyFont="1" applyFill="1" applyBorder="1" applyAlignment="1" applyProtection="1">
      <alignment vertical="center"/>
    </xf>
    <xf numFmtId="0" fontId="16" fillId="0" borderId="0" xfId="0" applyFont="1" applyFill="1" applyBorder="1" applyAlignment="1" applyProtection="1">
      <alignment vertical="center"/>
    </xf>
    <xf numFmtId="0" fontId="17" fillId="0" borderId="0" xfId="0" applyFont="1" applyFill="1" applyBorder="1" applyAlignment="1" applyProtection="1">
      <alignment vertical="center"/>
    </xf>
    <xf numFmtId="0" fontId="15" fillId="4" borderId="0" xfId="0" applyFont="1" applyFill="1" applyBorder="1" applyAlignment="1" applyProtection="1">
      <alignment vertical="center"/>
    </xf>
    <xf numFmtId="177" fontId="15" fillId="2" borderId="0" xfId="0" applyNumberFormat="1" applyFont="1" applyFill="1" applyBorder="1" applyAlignment="1" applyProtection="1">
      <alignment vertical="center"/>
    </xf>
    <xf numFmtId="0" fontId="15" fillId="0" borderId="0" xfId="0" applyFont="1" applyFill="1" applyBorder="1" applyAlignment="1" applyProtection="1">
      <alignment vertical="center"/>
    </xf>
    <xf numFmtId="0" fontId="16" fillId="9" borderId="21" xfId="0" applyNumberFormat="1" applyFont="1" applyFill="1" applyBorder="1" applyAlignment="1" applyProtection="1">
      <alignment vertical="center"/>
    </xf>
    <xf numFmtId="0" fontId="16" fillId="9" borderId="16" xfId="0" applyNumberFormat="1" applyFont="1" applyFill="1" applyBorder="1" applyAlignment="1" applyProtection="1">
      <alignment vertical="center"/>
    </xf>
    <xf numFmtId="0" fontId="16" fillId="11" borderId="1" xfId="0" applyFont="1" applyFill="1" applyBorder="1" applyAlignment="1" applyProtection="1">
      <alignment horizontal="center" vertical="center"/>
    </xf>
    <xf numFmtId="0" fontId="16" fillId="13" borderId="0" xfId="0" applyFont="1" applyFill="1" applyBorder="1" applyAlignment="1" applyProtection="1">
      <alignment vertical="center"/>
    </xf>
    <xf numFmtId="0" fontId="16" fillId="9" borderId="1" xfId="0" applyNumberFormat="1" applyFont="1" applyFill="1" applyBorder="1" applyAlignment="1" applyProtection="1">
      <alignment vertical="center"/>
    </xf>
    <xf numFmtId="177" fontId="16" fillId="13" borderId="1" xfId="0" applyNumberFormat="1" applyFont="1" applyFill="1" applyBorder="1" applyAlignment="1" applyProtection="1">
      <alignment vertical="center"/>
    </xf>
    <xf numFmtId="0" fontId="16" fillId="13" borderId="0" xfId="0" applyFont="1" applyFill="1" applyBorder="1" applyAlignment="1" applyProtection="1">
      <alignment vertical="center" wrapText="1"/>
    </xf>
    <xf numFmtId="0" fontId="16" fillId="9" borderId="0" xfId="0" applyFont="1" applyFill="1" applyBorder="1" applyAlignment="1" applyProtection="1">
      <alignment vertical="center"/>
    </xf>
    <xf numFmtId="0" fontId="15" fillId="15" borderId="1" xfId="51" applyFont="1" applyFill="1" applyBorder="1" applyAlignment="1">
      <alignment vertical="center"/>
    </xf>
    <xf numFmtId="0" fontId="15" fillId="15" borderId="1" xfId="0" applyFont="1" applyFill="1" applyBorder="1" applyAlignment="1" applyProtection="1">
      <alignment vertical="center"/>
    </xf>
    <xf numFmtId="0" fontId="17" fillId="15" borderId="1" xfId="0" applyFont="1" applyFill="1" applyBorder="1" applyAlignment="1" applyProtection="1">
      <alignment vertical="center"/>
    </xf>
    <xf numFmtId="0" fontId="17" fillId="15" borderId="19" xfId="0" applyNumberFormat="1" applyFont="1" applyFill="1" applyBorder="1" applyAlignment="1" applyProtection="1">
      <alignment vertical="center"/>
    </xf>
    <xf numFmtId="14" fontId="17" fillId="15" borderId="1" xfId="0" applyNumberFormat="1" applyFont="1" applyFill="1" applyBorder="1" applyAlignment="1" applyProtection="1">
      <alignment vertical="center"/>
    </xf>
    <xf numFmtId="177" fontId="17" fillId="15" borderId="1" xfId="0" applyNumberFormat="1" applyFont="1" applyFill="1" applyBorder="1" applyAlignment="1" applyProtection="1">
      <alignment vertical="center"/>
    </xf>
    <xf numFmtId="0" fontId="15" fillId="5" borderId="1" xfId="6" applyNumberFormat="1" applyFont="1" applyFill="1" applyBorder="1" applyAlignment="1" applyProtection="1">
      <alignment horizontal="right" vertical="center"/>
    </xf>
    <xf numFmtId="0" fontId="15" fillId="15" borderId="19" xfId="6" applyNumberFormat="1" applyFont="1" applyFill="1" applyBorder="1" applyAlignment="1" applyProtection="1">
      <alignment vertical="center"/>
    </xf>
    <xf numFmtId="0" fontId="15" fillId="4" borderId="1" xfId="6" applyNumberFormat="1" applyFont="1" applyFill="1" applyBorder="1" applyAlignment="1" applyProtection="1">
      <alignment horizontal="right" vertical="center"/>
    </xf>
    <xf numFmtId="0" fontId="15" fillId="15" borderId="1" xfId="6" applyNumberFormat="1" applyFont="1" applyFill="1" applyBorder="1" applyAlignment="1" applyProtection="1">
      <alignment vertical="center"/>
    </xf>
    <xf numFmtId="0" fontId="15" fillId="4" borderId="1" xfId="6" applyNumberFormat="1" applyFont="1" applyFill="1" applyBorder="1" applyAlignment="1" applyProtection="1">
      <alignment vertical="center"/>
    </xf>
    <xf numFmtId="0" fontId="15" fillId="5" borderId="1" xfId="0" applyFont="1" applyFill="1" applyBorder="1" applyAlignment="1" applyProtection="1">
      <alignment horizontal="left" vertical="center"/>
    </xf>
    <xf numFmtId="0" fontId="15" fillId="7" borderId="1" xfId="51" applyFont="1" applyFill="1" applyBorder="1" applyAlignment="1">
      <alignment horizontal="left" vertical="center"/>
    </xf>
    <xf numFmtId="14" fontId="21" fillId="5" borderId="1" xfId="0" applyNumberFormat="1" applyFont="1" applyFill="1" applyBorder="1" applyAlignment="1" applyProtection="1">
      <alignment vertical="center"/>
    </xf>
    <xf numFmtId="14" fontId="2" fillId="2" borderId="7" xfId="0" applyNumberFormat="1" applyFont="1" applyFill="1" applyBorder="1" applyAlignment="1" applyProtection="1" quotePrefix="1">
      <alignment vertical="center"/>
    </xf>
    <xf numFmtId="14" fontId="2" fillId="2" borderId="14" xfId="0" applyNumberFormat="1" applyFont="1" applyFill="1" applyBorder="1" applyAlignment="1" applyProtection="1" quotePrefix="1">
      <alignment vertical="center"/>
    </xf>
    <xf numFmtId="14" fontId="2" fillId="2" borderId="7" xfId="0" applyNumberFormat="1" applyFont="1" applyFill="1" applyBorder="1" applyAlignment="1" applyProtection="1" quotePrefix="1">
      <alignment horizontal="righ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TableStyleLight1" xfId="50"/>
    <cellStyle name="常规 2" xfId="51"/>
    <cellStyle name="常规 3" xfId="52"/>
    <cellStyle name="常规 4" xfId="53"/>
    <cellStyle name="常规 5" xfId="54"/>
  </cellStyles>
  <dxfs count="5">
    <dxf>
      <font>
        <color indexed="8"/>
      </font>
      <fill>
        <patternFill patternType="solid">
          <bgColor indexed="45"/>
        </patternFill>
      </fill>
    </dxf>
    <dxf>
      <font>
        <color rgb="FF9C0006"/>
      </font>
      <fill>
        <patternFill patternType="solid">
          <bgColor rgb="FFFFC7CE"/>
        </patternFill>
      </fill>
    </dxf>
    <dxf>
      <font>
        <b val="0"/>
        <i val="0"/>
        <color indexed="8"/>
      </font>
      <fill>
        <patternFill patternType="solid">
          <fgColor indexed="10"/>
          <bgColor indexed="45"/>
        </patternFill>
      </fill>
    </dxf>
    <dxf>
      <font>
        <b val="0"/>
        <i val="0"/>
        <color indexed="60"/>
      </font>
      <fill>
        <patternFill patternType="solid">
          <fgColor indexed="10"/>
          <bgColor indexed="29"/>
        </patternFill>
      </fill>
    </dxf>
    <dxf>
      <font>
        <color theme="5" tint="-0.249946592608417"/>
      </font>
      <fill>
        <patternFill patternType="solid">
          <bgColor theme="5" tint="0.799951170384838"/>
        </patternFill>
      </fill>
    </dxf>
  </dxfs>
  <tableStyles count="0" defaultTableStyle="TableStyleMedium2" defaultPivotStyle="PivotStyleMedium9"/>
  <colors>
    <mruColors>
      <color rgb="00FFEEDD"/>
      <color rgb="00FFF7EF"/>
      <color rgb="00FFCC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illianliao/Library/Containers/com.tencent.xinWeChat/Data/Documents/xwechat_files/wxid_kwkzno9k7w1m22_399d/msg/file/2026-01///Users/yinhema/Desktop/G:/00%20database-201608&#25913;&#2925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illianliao/Library/Containers/com.tencent.xinWeChat/Data/Documents/xwechat_files/wxid_kwkzno9k7w1m22_399d/msg/file/2026-01///Users/yinhema/Desktop/C:/Users/wzn/Downloads/&#21592;&#24037;&#20449;&#24687;&#34920;-V201610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llianliao/Library/Containers/com.tencent.xinWeChat/Data/Documents/xwechat_files/wxid_kwkzno9k7w1m22_399d/msg/file/2026-01///Users/yinhema/Desktop/C:/Megvii/Lynne/01-ER/&#21592;&#24037;&#20449;&#24687;&#34920;-V2016072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CUMBENT "/>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CUMBENT"/>
    </sheetNames>
    <sheetDataSet>
      <sheetData sheetId="0" refreshError="1"/>
    </sheetDataSet>
  </externalBook>
</externalLink>
</file>

<file path=xl/tables/table1.xml><?xml version="1.0" encoding="utf-8"?>
<table xmlns="http://schemas.openxmlformats.org/spreadsheetml/2006/main" id="11" name="表2_12" displayName="表2_12" ref="I682:K685" totalsRowShown="0">
  <tableColumns count="3">
    <tableColumn id="1" name="Agenda"/>
    <tableColumn id="2" name=" "/>
    <tableColumn id="3" name="  "/>
  </tableColumns>
  <tableStyleInfo name="TableStyleMedium6" showFirstColumn="0" showLastColumn="0" showRowStripes="1" showColumnStripes="0"/>
</table>
</file>

<file path=xl/tables/table2.xml><?xml version="1.0" encoding="utf-8"?>
<table xmlns="http://schemas.openxmlformats.org/spreadsheetml/2006/main" id="12" name="表2_2413" displayName="表2_2413" ref="I660:K664" totalsRowShown="0">
  <tableColumns count="3">
    <tableColumn id="1" name="Agenda"/>
    <tableColumn id="2" name=" "/>
    <tableColumn id="3" name="  "/>
  </tableColumns>
  <tableStyleInfo name="TableStyleMedium6" showFirstColumn="0" showLastColumn="0" showRowStripes="1" showColumnStripes="0"/>
</table>
</file>

<file path=xl/tables/table3.xml><?xml version="1.0" encoding="utf-8"?>
<table xmlns="http://schemas.openxmlformats.org/spreadsheetml/2006/main" id="13" name="表2_24214" displayName="表2_24214" ref="I615:K619" totalsRowShown="0">
  <tableColumns count="3">
    <tableColumn id="1" name="Agenda"/>
    <tableColumn id="2" name=" "/>
    <tableColumn id="3" name="  "/>
  </tableColumns>
  <tableStyleInfo name="TableStyleMedium6" showFirstColumn="0" showLastColumn="0" showRowStripes="1" showColumnStripes="0"/>
</table>
</file>

<file path=xl/tables/table4.xml><?xml version="1.0" encoding="utf-8"?>
<table xmlns="http://schemas.openxmlformats.org/spreadsheetml/2006/main" id="14" name="表2_242515" displayName="表2_242515" ref="I639:K643" totalsRowShown="0">
  <tableColumns count="3">
    <tableColumn id="1" name="Agenda"/>
    <tableColumn id="2" name=" "/>
    <tableColumn id="3" name="  "/>
  </tableColumns>
  <tableStyleInfo name="TableStyleMedium6" showFirstColumn="0" showLastColumn="0" showRowStripes="1" showColumnStripes="0"/>
</table>
</file>

<file path=xl/tables/table5.xml><?xml version="1.0" encoding="utf-8"?>
<table xmlns="http://schemas.openxmlformats.org/spreadsheetml/2006/main" id="15" name="表2_242616" displayName="表2_242616" ref="I583:K587" totalsRowShown="0">
  <tableColumns count="3">
    <tableColumn id="1" name="Agenda"/>
    <tableColumn id="2" name=" "/>
    <tableColumn id="3" name="  "/>
  </tableColumns>
  <tableStyleInfo name="TableStyleMedium6" showFirstColumn="0" showLastColumn="0" showRowStripes="1" showColumnStripes="0"/>
</table>
</file>

<file path=xl/tables/table6.xml><?xml version="1.0" encoding="utf-8"?>
<table xmlns="http://schemas.openxmlformats.org/spreadsheetml/2006/main" id="16" name="表2_2426717" displayName="表2_2426717" ref="I445:K449" totalsRowShown="0">
  <tableColumns count="3">
    <tableColumn id="1" name="Agenda"/>
    <tableColumn id="2" name=" "/>
    <tableColumn id="3" name="  "/>
  </tableColumns>
  <tableStyleInfo name="TableStyleMedium6" showFirstColumn="0" showLastColumn="0" showRowStripes="1" showColumnStripes="0"/>
</table>
</file>

<file path=xl/tables/table7.xml><?xml version="1.0" encoding="utf-8"?>
<table xmlns="http://schemas.openxmlformats.org/spreadsheetml/2006/main" id="17" name="表2_24267818" displayName="表2_24267818" ref="I505:K509" totalsRowShown="0">
  <tableColumns count="3">
    <tableColumn id="1" name="Agenda"/>
    <tableColumn id="2" name=" "/>
    <tableColumn id="3" name="  "/>
  </tableColumns>
  <tableStyleInfo name="TableStyleMedium6" showFirstColumn="0" showLastColumn="0" showRowStripes="1" showColumnStripes="0"/>
</table>
</file>

<file path=xl/tables/table8.xml><?xml version="1.0" encoding="utf-8"?>
<table xmlns="http://schemas.openxmlformats.org/spreadsheetml/2006/main" id="18" name="表2_242678919" displayName="表2_242678919" ref="I564:K568" totalsRowShown="0">
  <tableColumns count="3">
    <tableColumn id="1" name="Agenda"/>
    <tableColumn id="2" name=" "/>
    <tableColumn id="3" name="  "/>
  </tableColumns>
  <tableStyleInfo name="TableStyleMedium6" showFirstColumn="0" showLastColumn="0" showRowStripes="1" showColumnStripes="0"/>
</table>
</file>

<file path=xl/tables/table9.xml><?xml version="1.0" encoding="utf-8"?>
<table xmlns="http://schemas.openxmlformats.org/spreadsheetml/2006/main" id="19" name="表2_242671020" displayName="表2_242671020" ref="I298:K303" totalsRowShown="0">
  <tableColumns count="3">
    <tableColumn id="1" name="Agenda"/>
    <tableColumn id="2" name=" "/>
    <tableColumn id="3" name="  "/>
  </tableColumns>
  <tableStyleInfo name="TableStyleMedium6" showFirstColumn="0" showLastColumn="0" showRowStripes="1" showColumnStripes="0"/>
</table>
</file>

<file path=xl/tables/table10.xml><?xml version="1.0" encoding="utf-8"?>
<table xmlns="http://schemas.openxmlformats.org/spreadsheetml/2006/main" id="20" name="表2_24267101121" displayName="表2_24267101121" ref="I405:K409" totalsRowShown="0">
  <tableColumns count="3">
    <tableColumn id="1" name="Agenda"/>
    <tableColumn id="2" name=" "/>
    <tableColumn id="3" name="  "/>
  </tableColumns>
  <tableStyleInfo name="TableStyleMedium6"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99" Type="http://schemas.openxmlformats.org/officeDocument/2006/relationships/hyperlink" Target="mailto:xiaoyu@megvii.com.com" TargetMode="External"/><Relationship Id="rId98" Type="http://schemas.openxmlformats.org/officeDocument/2006/relationships/hyperlink" Target="mailto:huyong@megvii.com.com" TargetMode="External"/><Relationship Id="rId97" Type="http://schemas.openxmlformats.org/officeDocument/2006/relationships/hyperlink" Target="mailto:wuyongjie@megvii.com.com" TargetMode="External"/><Relationship Id="rId96" Type="http://schemas.openxmlformats.org/officeDocument/2006/relationships/hyperlink" Target="mailto:zhanghao@megvii.com" TargetMode="External"/><Relationship Id="rId95" Type="http://schemas.openxmlformats.org/officeDocument/2006/relationships/hyperlink" Target="mailto:shihanyuan@megvii.com" TargetMode="External"/><Relationship Id="rId94" Type="http://schemas.openxmlformats.org/officeDocument/2006/relationships/hyperlink" Target="mailto:zhujin@megvii.com" TargetMode="External"/><Relationship Id="rId93" Type="http://schemas.openxmlformats.org/officeDocument/2006/relationships/hyperlink" Target="mailto:yangjinping@megvii.com.com" TargetMode="External"/><Relationship Id="rId92" Type="http://schemas.openxmlformats.org/officeDocument/2006/relationships/hyperlink" Target="mailto:tangminjie@megvii.com.com" TargetMode="External"/><Relationship Id="rId91" Type="http://schemas.openxmlformats.org/officeDocument/2006/relationships/hyperlink" Target="mailto:wangzhe@megvii.com" TargetMode="External"/><Relationship Id="rId90" Type="http://schemas.openxmlformats.org/officeDocument/2006/relationships/hyperlink" Target="mailto:mashuangwei@megvii.com" TargetMode="External"/><Relationship Id="rId9" Type="http://schemas.openxmlformats.org/officeDocument/2006/relationships/hyperlink" Target="mailto:majing@megvii.com" TargetMode="External"/><Relationship Id="rId89" Type="http://schemas.openxmlformats.org/officeDocument/2006/relationships/hyperlink" Target="mailto:wangwentao@megvii.com" TargetMode="External"/><Relationship Id="rId88" Type="http://schemas.openxmlformats.org/officeDocument/2006/relationships/hyperlink" Target="mailto:zhoufeng@megvii.com" TargetMode="External"/><Relationship Id="rId87" Type="http://schemas.openxmlformats.org/officeDocument/2006/relationships/hyperlink" Target="mailto:fengbinglin@megvii.com" TargetMode="External"/><Relationship Id="rId86" Type="http://schemas.openxmlformats.org/officeDocument/2006/relationships/hyperlink" Target="mailto:youyuming@megvii.com" TargetMode="External"/><Relationship Id="rId85" Type="http://schemas.openxmlformats.org/officeDocument/2006/relationships/hyperlink" Target="mailto:boruiye@outlook.com" TargetMode="External"/><Relationship Id="rId84" Type="http://schemas.openxmlformats.org/officeDocument/2006/relationships/hyperlink" Target="mailto:yeborui@megvii.com" TargetMode="External"/><Relationship Id="rId83" Type="http://schemas.openxmlformats.org/officeDocument/2006/relationships/hyperlink" Target="mailto:wangzheng@megvii.com" TargetMode="External"/><Relationship Id="rId82" Type="http://schemas.openxmlformats.org/officeDocument/2006/relationships/hyperlink" Target="mailto:yekun@megvii.com" TargetMode="External"/><Relationship Id="rId81" Type="http://schemas.openxmlformats.org/officeDocument/2006/relationships/hyperlink" Target="mailto:huangrujian@megvii.com.com" TargetMode="External"/><Relationship Id="rId80" Type="http://schemas.openxmlformats.org/officeDocument/2006/relationships/hyperlink" Target="mailto:jiangqinhui@megvii.com" TargetMode="External"/><Relationship Id="rId8" Type="http://schemas.openxmlformats.org/officeDocument/2006/relationships/hyperlink" Target="mailto:tianye@megvii.com" TargetMode="External"/><Relationship Id="rId79" Type="http://schemas.openxmlformats.org/officeDocument/2006/relationships/hyperlink" Target="mailto:wangqibin@megvii.com" TargetMode="External"/><Relationship Id="rId78" Type="http://schemas.openxmlformats.org/officeDocument/2006/relationships/hyperlink" Target="mailto:chenxueyi@megvii.com.com" TargetMode="External"/><Relationship Id="rId77" Type="http://schemas.openxmlformats.org/officeDocument/2006/relationships/hyperlink" Target="mailto:zhaojinhao@megvii.com" TargetMode="External"/><Relationship Id="rId76" Type="http://schemas.openxmlformats.org/officeDocument/2006/relationships/hyperlink" Target="mailto:lvzhixuan@megvii.com" TargetMode="External"/><Relationship Id="rId75" Type="http://schemas.openxmlformats.org/officeDocument/2006/relationships/hyperlink" Target="mailto:liliang@megvii.com" TargetMode="External"/><Relationship Id="rId74" Type="http://schemas.openxmlformats.org/officeDocument/2006/relationships/hyperlink" Target="mailto:gaolei@megvii.com" TargetMode="External"/><Relationship Id="rId73" Type="http://schemas.openxmlformats.org/officeDocument/2006/relationships/hyperlink" Target="mailto:wangxiaoxing@megvii.com.com" TargetMode="External"/><Relationship Id="rId72" Type="http://schemas.openxmlformats.org/officeDocument/2006/relationships/hyperlink" Target="mailto:shenzhiyang@megvii.com.com" TargetMode="External"/><Relationship Id="rId71" Type="http://schemas.openxmlformats.org/officeDocument/2006/relationships/hyperlink" Target="mailto:jiazhipeng@megvii.com" TargetMode="External"/><Relationship Id="rId70" Type="http://schemas.openxmlformats.org/officeDocument/2006/relationships/hyperlink" Target="mailto:chenkai@megvii.com.com" TargetMode="External"/><Relationship Id="rId7" Type="http://schemas.openxmlformats.org/officeDocument/2006/relationships/hyperlink" Target="mailto:hujun@megvii.com" TargetMode="External"/><Relationship Id="rId69" Type="http://schemas.openxmlformats.org/officeDocument/2006/relationships/hyperlink" Target="mailto:chennie@megvii.com.com" TargetMode="External"/><Relationship Id="rId68" Type="http://schemas.openxmlformats.org/officeDocument/2006/relationships/hyperlink" Target="mailto:wangxiao@megvii.com" TargetMode="External"/><Relationship Id="rId67" Type="http://schemas.openxmlformats.org/officeDocument/2006/relationships/hyperlink" Target="mailto:xiepeibo@megvii.com" TargetMode="External"/><Relationship Id="rId66" Type="http://schemas.openxmlformats.org/officeDocument/2006/relationships/hyperlink" Target="mailto:qishubin@megvii.com" TargetMode="External"/><Relationship Id="rId65" Type="http://schemas.openxmlformats.org/officeDocument/2006/relationships/hyperlink" Target="mailto:568409226@qq.com" TargetMode="External"/><Relationship Id="rId64" Type="http://schemas.openxmlformats.org/officeDocument/2006/relationships/hyperlink" Target="mailto:lyt@megvii.com" TargetMode="External"/><Relationship Id="rId63" Type="http://schemas.openxmlformats.org/officeDocument/2006/relationships/hyperlink" Target="mailto:fengchao@megvii.com" TargetMode="External"/><Relationship Id="rId62" Type="http://schemas.openxmlformats.org/officeDocument/2006/relationships/hyperlink" Target="mailto:ninglijie@megvii.com" TargetMode="External"/><Relationship Id="rId61" Type="http://schemas.openxmlformats.org/officeDocument/2006/relationships/hyperlink" Target="mailto:18811185006@163.com" TargetMode="External"/><Relationship Id="rId60" Type="http://schemas.openxmlformats.org/officeDocument/2006/relationships/hyperlink" Target="mailto:yangjitao@megvii.com" TargetMode="External"/><Relationship Id="rId6" Type="http://schemas.openxmlformats.org/officeDocument/2006/relationships/hyperlink" Target="mailto:yangdong@megvii.com" TargetMode="External"/><Relationship Id="rId59" Type="http://schemas.openxmlformats.org/officeDocument/2006/relationships/hyperlink" Target="mailto:clangllvm@126.com" TargetMode="External"/><Relationship Id="rId58" Type="http://schemas.openxmlformats.org/officeDocument/2006/relationships/hyperlink" Target="mailto:heyi@megvii.com" TargetMode="External"/><Relationship Id="rId57" Type="http://schemas.openxmlformats.org/officeDocument/2006/relationships/hyperlink" Target="mailto:wangyuanyuan@megvii.com" TargetMode="External"/><Relationship Id="rId56" Type="http://schemas.openxmlformats.org/officeDocument/2006/relationships/hyperlink" Target="mailto:yangzhixuan@megvii.com" TargetMode="External"/><Relationship Id="rId55" Type="http://schemas.openxmlformats.org/officeDocument/2006/relationships/hyperlink" Target="mailto:lvxiao@megvii.com" TargetMode="External"/><Relationship Id="rId54" Type="http://schemas.openxmlformats.org/officeDocument/2006/relationships/hyperlink" Target="mailto:zmx@kuangzhitech.com" TargetMode="External"/><Relationship Id="rId53" Type="http://schemas.openxmlformats.org/officeDocument/2006/relationships/hyperlink" Target="mailto:mincore@163.com" TargetMode="External"/><Relationship Id="rId52" Type="http://schemas.openxmlformats.org/officeDocument/2006/relationships/hyperlink" Target="mailto:rocy2000@163.com" TargetMode="External"/><Relationship Id="rId51" Type="http://schemas.openxmlformats.org/officeDocument/2006/relationships/hyperlink" Target="mailto:zhouqingjun@163.com" TargetMode="External"/><Relationship Id="rId50" Type="http://schemas.openxmlformats.org/officeDocument/2006/relationships/hyperlink" Target="mailto:lfh@kuangzhitech.com" TargetMode="External"/><Relationship Id="rId5" Type="http://schemas.openxmlformats.org/officeDocument/2006/relationships/hyperlink" Target="mailto:jln@megvii.com" TargetMode="External"/><Relationship Id="rId49" Type="http://schemas.openxmlformats.org/officeDocument/2006/relationships/hyperlink" Target="mailto:wzj@kuangzhitech.com" TargetMode="External"/><Relationship Id="rId48" Type="http://schemas.openxmlformats.org/officeDocument/2006/relationships/hyperlink" Target="mailto:crc@kuangzhitech.com" TargetMode="External"/><Relationship Id="rId47" Type="http://schemas.openxmlformats.org/officeDocument/2006/relationships/hyperlink" Target="mailto:lxj@kuangzhitech.com" TargetMode="External"/><Relationship Id="rId46" Type="http://schemas.openxmlformats.org/officeDocument/2006/relationships/hyperlink" Target="mailto:pj@kuangzhitech.com" TargetMode="External"/><Relationship Id="rId45" Type="http://schemas.openxmlformats.org/officeDocument/2006/relationships/hyperlink" Target="mailto:244614948@qq.com" TargetMode="External"/><Relationship Id="rId44" Type="http://schemas.openxmlformats.org/officeDocument/2006/relationships/hyperlink" Target="mailto:lt@kuangzhitech.com" TargetMode="External"/><Relationship Id="rId43" Type="http://schemas.openxmlformats.org/officeDocument/2006/relationships/hyperlink" Target="mailto:jjy@kuangzhitech.com" TargetMode="External"/><Relationship Id="rId42" Type="http://schemas.openxmlformats.org/officeDocument/2006/relationships/hyperlink" Target="mailto:hhaiyangvc@163.com" TargetMode="External"/><Relationship Id="rId41" Type="http://schemas.openxmlformats.org/officeDocument/2006/relationships/hyperlink" Target="mailto:qianjieye@163.com" TargetMode="External"/><Relationship Id="rId40" Type="http://schemas.openxmlformats.org/officeDocument/2006/relationships/hyperlink" Target="mailto:shang_baojun@163.com" TargetMode="External"/><Relationship Id="rId4" Type="http://schemas.openxmlformats.org/officeDocument/2006/relationships/hyperlink" Target="mailto:wxc@megvii.com" TargetMode="External"/><Relationship Id="rId39" Type="http://schemas.openxmlformats.org/officeDocument/2006/relationships/hyperlink" Target="mailto:wangmingyuan@megvii.com" TargetMode="External"/><Relationship Id="rId38" Type="http://schemas.openxmlformats.org/officeDocument/2006/relationships/hyperlink" Target="mailto:randonlang@gmail.com" TargetMode="External"/><Relationship Id="rId37" Type="http://schemas.openxmlformats.org/officeDocument/2006/relationships/hyperlink" Target="mailto:zhurui@megvii.com" TargetMode="External"/><Relationship Id="rId36" Type="http://schemas.openxmlformats.org/officeDocument/2006/relationships/hyperlink" Target="mailto:wyx@megvii.com" TargetMode="External"/><Relationship Id="rId35" Type="http://schemas.openxmlformats.org/officeDocument/2006/relationships/hyperlink" Target="mailto:724739621@qq.com" TargetMode="External"/><Relationship Id="rId34" Type="http://schemas.openxmlformats.org/officeDocument/2006/relationships/hyperlink" Target="mailto:byr@megvii.com" TargetMode="External"/><Relationship Id="rId33" Type="http://schemas.openxmlformats.org/officeDocument/2006/relationships/hyperlink" Target="mailto:iterator.advance@gmail.com" TargetMode="External"/><Relationship Id="rId32" Type="http://schemas.openxmlformats.org/officeDocument/2006/relationships/hyperlink" Target="mailto:szy@megvii.com" TargetMode="External"/><Relationship Id="rId31" Type="http://schemas.openxmlformats.org/officeDocument/2006/relationships/hyperlink" Target="mailto:oyfx@megvii.com" TargetMode="External"/><Relationship Id="rId30" Type="http://schemas.openxmlformats.org/officeDocument/2006/relationships/hyperlink" Target="mailto:wzc@megvii.com" TargetMode="External"/><Relationship Id="rId3" Type="http://schemas.openxmlformats.org/officeDocument/2006/relationships/hyperlink" Target="mailto:lyq@megvii.com" TargetMode="External"/><Relationship Id="rId29" Type="http://schemas.openxmlformats.org/officeDocument/2006/relationships/hyperlink" Target="mailto:zys@megvii.com" TargetMode="External"/><Relationship Id="rId28" Type="http://schemas.openxmlformats.org/officeDocument/2006/relationships/hyperlink" Target="mailto:wdy@megvii.com" TargetMode="External"/><Relationship Id="rId27" Type="http://schemas.openxmlformats.org/officeDocument/2006/relationships/hyperlink" Target="mailto:lxy@megvii.com" TargetMode="External"/><Relationship Id="rId26" Type="http://schemas.openxmlformats.org/officeDocument/2006/relationships/hyperlink" Target="mailto:qianqiao@megvii.com" TargetMode="External"/><Relationship Id="rId25" Type="http://schemas.openxmlformats.org/officeDocument/2006/relationships/hyperlink" Target="mailto:zhangfang@megvii.com" TargetMode="External"/><Relationship Id="rId24" Type="http://schemas.openxmlformats.org/officeDocument/2006/relationships/hyperlink" Target="mailto:cxm@megvii.com" TargetMode="External"/><Relationship Id="rId23" Type="http://schemas.openxmlformats.org/officeDocument/2006/relationships/hyperlink" Target="mailto:xxr@megvii.com" TargetMode="External"/><Relationship Id="rId22" Type="http://schemas.openxmlformats.org/officeDocument/2006/relationships/hyperlink" Target="mailto:zyk@megvii.com" TargetMode="External"/><Relationship Id="rId21" Type="http://schemas.openxmlformats.org/officeDocument/2006/relationships/hyperlink" Target="mailto:drc@megvii.com" TargetMode="External"/><Relationship Id="rId20" Type="http://schemas.openxmlformats.org/officeDocument/2006/relationships/hyperlink" Target="mailto:wangxuan@megvii.com" TargetMode="External"/><Relationship Id="rId2" Type="http://schemas.openxmlformats.org/officeDocument/2006/relationships/vmlDrawing" Target="../drawings/vmlDrawing2.vml"/><Relationship Id="rId19" Type="http://schemas.openxmlformats.org/officeDocument/2006/relationships/hyperlink" Target="mailto:wcs@megvii.com" TargetMode="External"/><Relationship Id="rId18" Type="http://schemas.openxmlformats.org/officeDocument/2006/relationships/hyperlink" Target="mailto:liudan@megvii.com" TargetMode="External"/><Relationship Id="rId17" Type="http://schemas.openxmlformats.org/officeDocument/2006/relationships/hyperlink" Target="mailto:clj@megvii.com" TargetMode="External"/><Relationship Id="rId16" Type="http://schemas.openxmlformats.org/officeDocument/2006/relationships/hyperlink" Target="mailto:syh@megvii.com" TargetMode="External"/><Relationship Id="rId15" Type="http://schemas.openxmlformats.org/officeDocument/2006/relationships/hyperlink" Target="mailto:zhangzhuo@megvii.com" TargetMode="External"/><Relationship Id="rId14" Type="http://schemas.openxmlformats.org/officeDocument/2006/relationships/hyperlink" Target="mailto:sunji@megvii.com" TargetMode="External"/><Relationship Id="rId130" Type="http://schemas.openxmlformats.org/officeDocument/2006/relationships/hyperlink" Target="mailto:pengfangyue@megvii.com" TargetMode="External"/><Relationship Id="rId13" Type="http://schemas.openxmlformats.org/officeDocument/2006/relationships/hyperlink" Target="mailto:gqh@megvii.com" TargetMode="External"/><Relationship Id="rId129" Type="http://schemas.openxmlformats.org/officeDocument/2006/relationships/hyperlink" Target="mailto:likangwei@megvii.com" TargetMode="External"/><Relationship Id="rId128" Type="http://schemas.openxmlformats.org/officeDocument/2006/relationships/hyperlink" Target="mailto:pengzewen@megvii.com" TargetMode="External"/><Relationship Id="rId127" Type="http://schemas.openxmlformats.org/officeDocument/2006/relationships/hyperlink" Target="mailto:yulinyun@megvii.com" TargetMode="External"/><Relationship Id="rId126" Type="http://schemas.openxmlformats.org/officeDocument/2006/relationships/hyperlink" Target="mailto:zhuangjun@megvii.com" TargetMode="External"/><Relationship Id="rId125" Type="http://schemas.openxmlformats.org/officeDocument/2006/relationships/hyperlink" Target="mailto:shenjian@megvii.com" TargetMode="External"/><Relationship Id="rId124" Type="http://schemas.openxmlformats.org/officeDocument/2006/relationships/hyperlink" Target="mailto:hanwenqin@megvii.com" TargetMode="External"/><Relationship Id="rId123" Type="http://schemas.openxmlformats.org/officeDocument/2006/relationships/hyperlink" Target="mailto:dudayou@megvii.com" TargetMode="External"/><Relationship Id="rId122" Type="http://schemas.openxmlformats.org/officeDocument/2006/relationships/hyperlink" Target="mailto:liuzenan@megvii.com" TargetMode="External"/><Relationship Id="rId121" Type="http://schemas.openxmlformats.org/officeDocument/2006/relationships/hyperlink" Target="mailto:lindingguo@megvii.com" TargetMode="External"/><Relationship Id="rId120" Type="http://schemas.openxmlformats.org/officeDocument/2006/relationships/hyperlink" Target="mailto:rumin@megvii.com" TargetMode="External"/><Relationship Id="rId12" Type="http://schemas.openxmlformats.org/officeDocument/2006/relationships/hyperlink" Target="mailto:lsk@megvii.com" TargetMode="External"/><Relationship Id="rId119" Type="http://schemas.openxmlformats.org/officeDocument/2006/relationships/hyperlink" Target="mailto:zhouhaizhou@megvii.com" TargetMode="External"/><Relationship Id="rId118" Type="http://schemas.openxmlformats.org/officeDocument/2006/relationships/hyperlink" Target="mailto:gongjian@megvii.com" TargetMode="External"/><Relationship Id="rId117" Type="http://schemas.openxmlformats.org/officeDocument/2006/relationships/hyperlink" Target="mailto:tanglibo@megvii.com" TargetMode="External"/><Relationship Id="rId116" Type="http://schemas.openxmlformats.org/officeDocument/2006/relationships/hyperlink" Target="mailto:jinzi@megvii.com" TargetMode="External"/><Relationship Id="rId115" Type="http://schemas.openxmlformats.org/officeDocument/2006/relationships/hyperlink" Target="mailto:shaojiancheng@megvii.com" TargetMode="External"/><Relationship Id="rId114" Type="http://schemas.openxmlformats.org/officeDocument/2006/relationships/hyperlink" Target="mailto:tenghongbin@megvii.com" TargetMode="External"/><Relationship Id="rId113" Type="http://schemas.openxmlformats.org/officeDocument/2006/relationships/hyperlink" Target="mailto:gongxun@megvii.com" TargetMode="External"/><Relationship Id="rId112" Type="http://schemas.openxmlformats.org/officeDocument/2006/relationships/hyperlink" Target="mailto:ruanyuedong@megvii.com" TargetMode="External"/><Relationship Id="rId111" Type="http://schemas.openxmlformats.org/officeDocument/2006/relationships/hyperlink" Target="mailto:lijinyin@megvii.com.com" TargetMode="External"/><Relationship Id="rId110" Type="http://schemas.openxmlformats.org/officeDocument/2006/relationships/hyperlink" Target="mailto:lijun@megvii.com" TargetMode="External"/><Relationship Id="rId11" Type="http://schemas.openxmlformats.org/officeDocument/2006/relationships/hyperlink" Target="mailto:caoting@mefvii.com" TargetMode="External"/><Relationship Id="rId109" Type="http://schemas.openxmlformats.org/officeDocument/2006/relationships/hyperlink" Target="mailto:zhuxiaoqi@megvii.com.com" TargetMode="External"/><Relationship Id="rId108" Type="http://schemas.openxmlformats.org/officeDocument/2006/relationships/hyperlink" Target="mailto:tongchao@megvii.com" TargetMode="External"/><Relationship Id="rId107" Type="http://schemas.openxmlformats.org/officeDocument/2006/relationships/hyperlink" Target="mailto:wuyingmin@megvii.com" TargetMode="External"/><Relationship Id="rId106" Type="http://schemas.openxmlformats.org/officeDocument/2006/relationships/hyperlink" Target="mailto:huqianli@megvii.com" TargetMode="External"/><Relationship Id="rId105" Type="http://schemas.openxmlformats.org/officeDocument/2006/relationships/hyperlink" Target="mailto:taoqi@megvii.com.com" TargetMode="External"/><Relationship Id="rId104" Type="http://schemas.openxmlformats.org/officeDocument/2006/relationships/hyperlink" Target="mailto:lijiaxin@megvii.com.com" TargetMode="External"/><Relationship Id="rId103" Type="http://schemas.openxmlformats.org/officeDocument/2006/relationships/hyperlink" Target="mailto:sundengbo@megvii.com.com" TargetMode="External"/><Relationship Id="rId102" Type="http://schemas.openxmlformats.org/officeDocument/2006/relationships/hyperlink" Target="mailto:lizhenxing@megvii.com.com" TargetMode="External"/><Relationship Id="rId101" Type="http://schemas.openxmlformats.org/officeDocument/2006/relationships/hyperlink" Target="mailto:liujingyang@megvii.com.com" TargetMode="External"/><Relationship Id="rId100" Type="http://schemas.openxmlformats.org/officeDocument/2006/relationships/hyperlink" Target="mailto:jinguang@megvii.com.com" TargetMode="External"/><Relationship Id="rId10" Type="http://schemas.openxmlformats.org/officeDocument/2006/relationships/hyperlink" Target="mailto:baohai@megvii.com" TargetMode="Externa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0" Type="http://schemas.openxmlformats.org/officeDocument/2006/relationships/table" Target="../tables/table10.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P438"/>
  <sheetViews>
    <sheetView tabSelected="1" zoomScale="137" zoomScaleNormal="137" workbookViewId="0">
      <selection activeCell="D310" sqref="D310"/>
    </sheetView>
  </sheetViews>
  <sheetFormatPr defaultColWidth="9" defaultRowHeight="15.2"/>
  <cols>
    <col min="1" max="1" width="4" style="96" customWidth="1"/>
    <col min="2" max="2" width="11.125" style="97" customWidth="1"/>
    <col min="3" max="3" width="16.5" style="97" customWidth="1"/>
    <col min="4" max="4" width="33.375" style="97" customWidth="1"/>
    <col min="5" max="5" width="11.125" style="97" customWidth="1"/>
    <col min="6" max="6" width="11.375" style="97" customWidth="1"/>
    <col min="7" max="7" width="22.125" style="96" customWidth="1"/>
    <col min="8" max="9" width="12.5" style="97" hidden="1" customWidth="1"/>
    <col min="10" max="10" width="12.125" style="260" hidden="1" customWidth="1"/>
    <col min="11" max="11" width="15.125" style="97" hidden="1" customWidth="1"/>
    <col min="12" max="12" width="12.125" style="97" hidden="1" customWidth="1"/>
    <col min="13" max="13" width="10.125" style="261" hidden="1" customWidth="1"/>
    <col min="14" max="15" width="9" style="261" hidden="1" customWidth="1"/>
    <col min="16" max="16" width="28.25" style="261" customWidth="1"/>
    <col min="17" max="16384" width="9" style="261"/>
  </cols>
  <sheetData>
    <row r="1" s="257" customFormat="1" ht="21" customHeight="1" spans="1:16">
      <c r="A1" s="262" t="s">
        <v>0</v>
      </c>
      <c r="B1" s="263"/>
      <c r="C1" s="263"/>
      <c r="D1" s="263"/>
      <c r="E1" s="263"/>
      <c r="F1" s="263"/>
      <c r="G1" s="264" t="s">
        <v>1</v>
      </c>
      <c r="H1" s="106"/>
      <c r="I1" s="106"/>
      <c r="J1" s="106"/>
      <c r="K1" s="106"/>
      <c r="L1" s="106"/>
      <c r="M1" s="265"/>
    </row>
    <row r="2" s="257" customFormat="1" ht="21.75" customHeight="1" spans="1:16">
      <c r="A2" s="266" t="s">
        <v>2</v>
      </c>
      <c r="B2" s="266" t="s">
        <v>3</v>
      </c>
      <c r="C2" s="110" t="s">
        <v>4</v>
      </c>
      <c r="D2" s="110" t="s">
        <v>5</v>
      </c>
      <c r="E2" s="110" t="s">
        <v>6</v>
      </c>
      <c r="F2" s="110" t="s">
        <v>7</v>
      </c>
      <c r="G2" s="116" t="s">
        <v>8</v>
      </c>
      <c r="H2" s="118" t="s">
        <v>9</v>
      </c>
      <c r="I2" s="118" t="s">
        <v>10</v>
      </c>
      <c r="J2" s="267" t="s">
        <v>11</v>
      </c>
      <c r="K2" s="118" t="s">
        <v>12</v>
      </c>
      <c r="L2" s="118" t="s">
        <v>13</v>
      </c>
      <c r="M2" s="268" t="s">
        <v>14</v>
      </c>
      <c r="N2" s="269" t="s">
        <v>15</v>
      </c>
      <c r="O2" s="110" t="s">
        <v>16</v>
      </c>
    </row>
    <row r="3" ht="21.75" customHeight="1" spans="1:16">
      <c r="A3" s="122">
        <v>1</v>
      </c>
      <c r="B3" s="141" t="s">
        <v>17</v>
      </c>
      <c r="C3" s="141" t="s">
        <v>18</v>
      </c>
      <c r="D3" s="137" t="s">
        <v>19</v>
      </c>
      <c r="E3" s="137" t="s">
        <v>20</v>
      </c>
      <c r="F3" s="139" t="s">
        <v>21</v>
      </c>
      <c r="G3" s="153">
        <v>18612081885</v>
      </c>
      <c r="H3" s="142">
        <v>42429</v>
      </c>
      <c r="I3" s="142">
        <f>EDATE(H3,24)-1</f>
        <v>43158</v>
      </c>
      <c r="J3" s="148">
        <f ca="1">ROUND(I3-NOW(),0)</f>
        <v>-2894</v>
      </c>
      <c r="K3" s="139" t="s">
        <v>22</v>
      </c>
      <c r="L3" s="139"/>
      <c r="M3" s="215" t="s">
        <v>23</v>
      </c>
    </row>
    <row r="4" ht="21.75" customHeight="1" spans="1:16">
      <c r="A4" s="122">
        <v>2</v>
      </c>
      <c r="B4" s="270" t="s">
        <v>24</v>
      </c>
      <c r="C4" s="270" t="s">
        <v>25</v>
      </c>
      <c r="D4" s="271" t="s">
        <v>26</v>
      </c>
      <c r="E4" s="137" t="s">
        <v>27</v>
      </c>
      <c r="F4" s="272" t="s">
        <v>21</v>
      </c>
      <c r="G4" s="273">
        <v>15201523285</v>
      </c>
      <c r="H4" s="274"/>
      <c r="I4" s="274"/>
      <c r="J4" s="275"/>
      <c r="K4" s="272"/>
      <c r="L4" s="272"/>
      <c r="M4" s="215"/>
    </row>
    <row r="5" ht="21.75" customHeight="1" spans="1:16">
      <c r="A5" s="122">
        <v>3</v>
      </c>
      <c r="B5" s="270" t="s">
        <v>28</v>
      </c>
      <c r="C5" s="270" t="s">
        <v>18</v>
      </c>
      <c r="D5" s="271" t="s">
        <v>29</v>
      </c>
      <c r="E5" s="137" t="s">
        <v>27</v>
      </c>
      <c r="F5" s="272" t="s">
        <v>21</v>
      </c>
      <c r="G5" s="273">
        <v>13671270149</v>
      </c>
      <c r="H5" s="274"/>
      <c r="I5" s="274"/>
      <c r="J5" s="275"/>
      <c r="K5" s="272"/>
      <c r="L5" s="272" t="s">
        <v>30</v>
      </c>
      <c r="M5" s="215"/>
    </row>
    <row r="6" ht="21.75" customHeight="1" spans="1:16">
      <c r="A6" s="122">
        <v>4</v>
      </c>
      <c r="B6" s="141" t="s">
        <v>31</v>
      </c>
      <c r="C6" s="141" t="s">
        <v>18</v>
      </c>
      <c r="D6" s="137" t="s">
        <v>32</v>
      </c>
      <c r="E6" s="137" t="s">
        <v>33</v>
      </c>
      <c r="F6" s="139" t="s">
        <v>21</v>
      </c>
      <c r="G6" s="147">
        <v>18600162842</v>
      </c>
      <c r="H6" s="142">
        <v>42226</v>
      </c>
      <c r="I6" s="142">
        <f>EDATE(H6,24)-1</f>
        <v>42956</v>
      </c>
      <c r="J6" s="148">
        <f ca="1" t="shared" ref="J6:J21" si="0">ROUND(I6-NOW(),0)</f>
        <v>-3096</v>
      </c>
      <c r="K6" s="139"/>
      <c r="L6" s="137"/>
      <c r="M6" s="215" t="s">
        <v>23</v>
      </c>
      <c r="P6" s="261" t="s">
        <v>34</v>
      </c>
    </row>
    <row r="7" ht="21.75" customHeight="1" spans="1:16">
      <c r="A7" s="122">
        <v>5</v>
      </c>
      <c r="B7" s="141" t="s">
        <v>35</v>
      </c>
      <c r="C7" s="141" t="s">
        <v>36</v>
      </c>
      <c r="D7" s="137" t="s">
        <v>37</v>
      </c>
      <c r="E7" s="137" t="s">
        <v>33</v>
      </c>
      <c r="F7" s="139" t="s">
        <v>21</v>
      </c>
      <c r="G7" s="153">
        <v>15810062397</v>
      </c>
      <c r="H7" s="142">
        <v>42704</v>
      </c>
      <c r="I7" s="142">
        <f>EDATE(H7,36)</f>
        <v>43799</v>
      </c>
      <c r="J7" s="148">
        <f ca="1" t="shared" si="0"/>
        <v>-2253</v>
      </c>
      <c r="K7" s="139"/>
      <c r="L7" s="139" t="s">
        <v>38</v>
      </c>
      <c r="M7" s="215"/>
      <c r="P7" s="261" t="s">
        <v>39</v>
      </c>
    </row>
    <row r="8" ht="21.75" customHeight="1" spans="1:16">
      <c r="A8" s="122">
        <v>6</v>
      </c>
      <c r="B8" s="141" t="s">
        <v>40</v>
      </c>
      <c r="C8" s="141" t="s">
        <v>18</v>
      </c>
      <c r="D8" s="137" t="s">
        <v>18</v>
      </c>
      <c r="E8" s="137" t="s">
        <v>41</v>
      </c>
      <c r="F8" s="139" t="s">
        <v>21</v>
      </c>
      <c r="G8" s="147">
        <v>13716741225</v>
      </c>
      <c r="H8" s="142">
        <v>42613</v>
      </c>
      <c r="I8" s="142">
        <f>EDATE(H8,36)-1</f>
        <v>43707</v>
      </c>
      <c r="J8" s="148">
        <f ca="1" t="shared" si="0"/>
        <v>-2345</v>
      </c>
      <c r="K8" s="139" t="s">
        <v>42</v>
      </c>
      <c r="L8" s="137"/>
      <c r="M8" s="215" t="s">
        <v>23</v>
      </c>
    </row>
    <row r="9" ht="21.75" customHeight="1" spans="1:16">
      <c r="A9" s="122">
        <v>7</v>
      </c>
      <c r="B9" s="141" t="s">
        <v>43</v>
      </c>
      <c r="C9" s="141" t="s">
        <v>18</v>
      </c>
      <c r="D9" s="137" t="s">
        <v>44</v>
      </c>
      <c r="E9" s="137" t="s">
        <v>45</v>
      </c>
      <c r="F9" s="139" t="s">
        <v>21</v>
      </c>
      <c r="G9" s="147">
        <v>18612193916</v>
      </c>
      <c r="H9" s="142">
        <v>42429</v>
      </c>
      <c r="I9" s="142">
        <f>EDATE(H9,24)-1</f>
        <v>43158</v>
      </c>
      <c r="J9" s="148">
        <f ca="1" t="shared" si="0"/>
        <v>-2894</v>
      </c>
      <c r="K9" s="139" t="s">
        <v>22</v>
      </c>
      <c r="L9" s="137"/>
      <c r="M9" s="215" t="s">
        <v>23</v>
      </c>
    </row>
    <row r="10" ht="21.75" customHeight="1" spans="1:16">
      <c r="A10" s="122">
        <v>8</v>
      </c>
      <c r="B10" s="141" t="s">
        <v>46</v>
      </c>
      <c r="C10" s="141" t="s">
        <v>25</v>
      </c>
      <c r="D10" s="137" t="s">
        <v>47</v>
      </c>
      <c r="E10" s="137" t="s">
        <v>48</v>
      </c>
      <c r="F10" s="139" t="s">
        <v>21</v>
      </c>
      <c r="G10" s="147">
        <v>13341070654</v>
      </c>
      <c r="H10" s="142">
        <v>42429</v>
      </c>
      <c r="I10" s="142">
        <f>EDATE(H10,36)-1</f>
        <v>43523</v>
      </c>
      <c r="J10" s="148">
        <f ca="1" t="shared" si="0"/>
        <v>-2529</v>
      </c>
      <c r="K10" s="139" t="s">
        <v>22</v>
      </c>
      <c r="L10" s="137"/>
      <c r="M10" s="215" t="s">
        <v>23</v>
      </c>
    </row>
    <row r="11" ht="21.75" customHeight="1" spans="1:16">
      <c r="A11" s="122">
        <v>9</v>
      </c>
      <c r="B11" s="141" t="s">
        <v>49</v>
      </c>
      <c r="C11" s="141" t="s">
        <v>50</v>
      </c>
      <c r="D11" s="137" t="s">
        <v>50</v>
      </c>
      <c r="E11" s="137" t="s">
        <v>50</v>
      </c>
      <c r="F11" s="139" t="s">
        <v>21</v>
      </c>
      <c r="G11" s="147">
        <v>13699249228</v>
      </c>
      <c r="H11" s="142">
        <v>42429</v>
      </c>
      <c r="I11" s="142">
        <f>EDATE(H11,36)-1</f>
        <v>43523</v>
      </c>
      <c r="J11" s="148">
        <f ca="1" t="shared" si="0"/>
        <v>-2529</v>
      </c>
      <c r="K11" s="139" t="s">
        <v>22</v>
      </c>
      <c r="L11" s="137"/>
      <c r="M11" s="215" t="s">
        <v>23</v>
      </c>
    </row>
    <row r="12" ht="21.75" customHeight="1" spans="1:16">
      <c r="A12" s="122">
        <v>10</v>
      </c>
      <c r="B12" s="141" t="s">
        <v>51</v>
      </c>
      <c r="C12" s="141" t="s">
        <v>52</v>
      </c>
      <c r="D12" s="137" t="s">
        <v>52</v>
      </c>
      <c r="E12" s="137" t="s">
        <v>53</v>
      </c>
      <c r="F12" s="139" t="s">
        <v>21</v>
      </c>
      <c r="G12" s="147">
        <v>13810331014</v>
      </c>
      <c r="H12" s="142">
        <v>42429</v>
      </c>
      <c r="I12" s="142">
        <f>EDATE(H12,36)-1</f>
        <v>43523</v>
      </c>
      <c r="J12" s="148">
        <f ca="1" t="shared" si="0"/>
        <v>-2529</v>
      </c>
      <c r="K12" s="139" t="s">
        <v>22</v>
      </c>
      <c r="L12" s="137"/>
      <c r="M12" s="215" t="s">
        <v>23</v>
      </c>
    </row>
    <row r="13" ht="21.75" customHeight="1" spans="1:16">
      <c r="A13" s="122">
        <v>11</v>
      </c>
      <c r="B13" s="141" t="s">
        <v>54</v>
      </c>
      <c r="C13" s="141" t="s">
        <v>25</v>
      </c>
      <c r="D13" s="137" t="s">
        <v>55</v>
      </c>
      <c r="E13" s="137" t="s">
        <v>56</v>
      </c>
      <c r="F13" s="139" t="s">
        <v>21</v>
      </c>
      <c r="G13" s="147">
        <v>18600890002</v>
      </c>
      <c r="H13" s="142">
        <v>42429</v>
      </c>
      <c r="I13" s="142">
        <f t="shared" ref="I13:I20" si="1">EDATE(H13,24)-1</f>
        <v>43158</v>
      </c>
      <c r="J13" s="148">
        <f ca="1" t="shared" si="0"/>
        <v>-2894</v>
      </c>
      <c r="K13" s="139" t="s">
        <v>22</v>
      </c>
      <c r="L13" s="137"/>
      <c r="M13" s="215" t="s">
        <v>23</v>
      </c>
    </row>
    <row r="14" ht="21.75" customHeight="1" spans="1:16">
      <c r="A14" s="122">
        <v>12</v>
      </c>
      <c r="B14" s="141" t="s">
        <v>57</v>
      </c>
      <c r="C14" s="141" t="s">
        <v>18</v>
      </c>
      <c r="D14" s="137" t="s">
        <v>58</v>
      </c>
      <c r="E14" s="137" t="s">
        <v>59</v>
      </c>
      <c r="F14" s="139" t="s">
        <v>21</v>
      </c>
      <c r="G14" s="147">
        <v>18810495859</v>
      </c>
      <c r="H14" s="142">
        <v>42217</v>
      </c>
      <c r="I14" s="142">
        <f t="shared" si="1"/>
        <v>42947</v>
      </c>
      <c r="J14" s="148">
        <f ca="1" t="shared" si="0"/>
        <v>-3105</v>
      </c>
      <c r="K14" s="139"/>
      <c r="L14" s="137"/>
      <c r="M14" s="215" t="s">
        <v>23</v>
      </c>
    </row>
    <row r="15" ht="21.75" customHeight="1" spans="1:16">
      <c r="A15" s="122">
        <v>13</v>
      </c>
      <c r="B15" s="141" t="s">
        <v>60</v>
      </c>
      <c r="C15" s="141" t="s">
        <v>61</v>
      </c>
      <c r="D15" s="137" t="s">
        <v>62</v>
      </c>
      <c r="E15" s="137" t="s">
        <v>63</v>
      </c>
      <c r="F15" s="139" t="s">
        <v>21</v>
      </c>
      <c r="G15" s="147">
        <v>13141475131</v>
      </c>
      <c r="H15" s="142">
        <v>42429</v>
      </c>
      <c r="I15" s="142">
        <f t="shared" si="1"/>
        <v>43158</v>
      </c>
      <c r="J15" s="148">
        <f ca="1" t="shared" si="0"/>
        <v>-2894</v>
      </c>
      <c r="K15" s="139" t="s">
        <v>22</v>
      </c>
      <c r="L15" s="137"/>
      <c r="M15" s="215" t="s">
        <v>23</v>
      </c>
    </row>
    <row r="16" ht="21.75" customHeight="1" spans="1:16">
      <c r="A16" s="122">
        <v>14</v>
      </c>
      <c r="B16" s="141" t="s">
        <v>64</v>
      </c>
      <c r="C16" s="141" t="s">
        <v>25</v>
      </c>
      <c r="D16" s="137" t="s">
        <v>55</v>
      </c>
      <c r="E16" s="137" t="s">
        <v>65</v>
      </c>
      <c r="F16" s="139" t="s">
        <v>21</v>
      </c>
      <c r="G16" s="147">
        <v>13261249608</v>
      </c>
      <c r="H16" s="142">
        <v>42370</v>
      </c>
      <c r="I16" s="142">
        <f t="shared" si="1"/>
        <v>43100</v>
      </c>
      <c r="J16" s="148">
        <f ca="1" t="shared" si="0"/>
        <v>-2952</v>
      </c>
      <c r="K16" s="139" t="s">
        <v>66</v>
      </c>
      <c r="L16" s="137"/>
      <c r="M16" s="215" t="s">
        <v>23</v>
      </c>
    </row>
    <row r="17" ht="21.75" customHeight="1" spans="1:16">
      <c r="A17" s="122">
        <v>15</v>
      </c>
      <c r="B17" s="137" t="s">
        <v>67</v>
      </c>
      <c r="C17" s="141" t="s">
        <v>68</v>
      </c>
      <c r="D17" s="137" t="s">
        <v>68</v>
      </c>
      <c r="E17" s="137" t="s">
        <v>69</v>
      </c>
      <c r="F17" s="139" t="s">
        <v>21</v>
      </c>
      <c r="G17" s="147">
        <v>18201501919</v>
      </c>
      <c r="H17" s="142">
        <v>42490</v>
      </c>
      <c r="I17" s="142">
        <f t="shared" si="1"/>
        <v>43219</v>
      </c>
      <c r="J17" s="148">
        <f ca="1" t="shared" si="0"/>
        <v>-2833</v>
      </c>
      <c r="K17" s="139" t="s">
        <v>70</v>
      </c>
      <c r="L17" s="137"/>
      <c r="M17" s="215" t="s">
        <v>23</v>
      </c>
    </row>
    <row r="18" ht="21.75" customHeight="1" spans="1:16">
      <c r="A18" s="122">
        <v>16</v>
      </c>
      <c r="B18" s="141" t="s">
        <v>71</v>
      </c>
      <c r="C18" s="141" t="s">
        <v>72</v>
      </c>
      <c r="D18" s="137" t="s">
        <v>73</v>
      </c>
      <c r="E18" s="137" t="s">
        <v>74</v>
      </c>
      <c r="F18" s="139" t="s">
        <v>21</v>
      </c>
      <c r="G18" s="122">
        <v>13810296861</v>
      </c>
      <c r="H18" s="142">
        <v>42453</v>
      </c>
      <c r="I18" s="142">
        <f t="shared" si="1"/>
        <v>43182</v>
      </c>
      <c r="J18" s="148">
        <f ca="1" t="shared" si="0"/>
        <v>-2870</v>
      </c>
      <c r="K18" s="137" t="s">
        <v>75</v>
      </c>
      <c r="L18" s="137"/>
      <c r="M18" s="215" t="s">
        <v>23</v>
      </c>
    </row>
    <row r="19" s="258" customFormat="1" ht="21.75" customHeight="1" spans="1:16">
      <c r="A19" s="122">
        <v>17</v>
      </c>
      <c r="B19" s="141" t="s">
        <v>76</v>
      </c>
      <c r="C19" s="141" t="s">
        <v>18</v>
      </c>
      <c r="D19" s="137" t="s">
        <v>58</v>
      </c>
      <c r="E19" s="137" t="s">
        <v>45</v>
      </c>
      <c r="F19" s="139" t="s">
        <v>21</v>
      </c>
      <c r="G19" s="147">
        <v>13488767904</v>
      </c>
      <c r="H19" s="142">
        <v>42217</v>
      </c>
      <c r="I19" s="142">
        <f t="shared" si="1"/>
        <v>42947</v>
      </c>
      <c r="J19" s="148">
        <f ca="1" t="shared" si="0"/>
        <v>-3105</v>
      </c>
      <c r="K19" s="139"/>
      <c r="L19" s="137"/>
      <c r="M19" s="215" t="s">
        <v>23</v>
      </c>
    </row>
    <row r="20" ht="21.75" customHeight="1" spans="1:16">
      <c r="A20" s="122">
        <v>18</v>
      </c>
      <c r="B20" s="137" t="s">
        <v>77</v>
      </c>
      <c r="C20" s="137" t="s">
        <v>78</v>
      </c>
      <c r="D20" s="137" t="s">
        <v>79</v>
      </c>
      <c r="E20" s="137" t="s">
        <v>80</v>
      </c>
      <c r="F20" s="139" t="s">
        <v>21</v>
      </c>
      <c r="G20" s="147">
        <v>15001385874</v>
      </c>
      <c r="H20" s="142">
        <v>42582</v>
      </c>
      <c r="I20" s="142">
        <f t="shared" si="1"/>
        <v>43311</v>
      </c>
      <c r="J20" s="148">
        <f ca="1" t="shared" si="0"/>
        <v>-2741</v>
      </c>
      <c r="K20" s="137" t="s">
        <v>81</v>
      </c>
      <c r="L20" s="137"/>
      <c r="M20" s="215" t="s">
        <v>23</v>
      </c>
      <c r="N20" s="258"/>
      <c r="O20" s="258"/>
    </row>
    <row r="21" ht="21.75" customHeight="1" spans="1:16">
      <c r="A21" s="122">
        <v>19</v>
      </c>
      <c r="B21" s="137" t="s">
        <v>82</v>
      </c>
      <c r="C21" s="141" t="s">
        <v>25</v>
      </c>
      <c r="D21" s="137" t="s">
        <v>47</v>
      </c>
      <c r="E21" s="137" t="s">
        <v>65</v>
      </c>
      <c r="F21" s="139" t="s">
        <v>21</v>
      </c>
      <c r="G21" s="147">
        <v>18518755547</v>
      </c>
      <c r="H21" s="142">
        <v>42613</v>
      </c>
      <c r="I21" s="142">
        <f>EDATE(H21,36)-1</f>
        <v>43707</v>
      </c>
      <c r="J21" s="148">
        <f ca="1" t="shared" si="0"/>
        <v>-2345</v>
      </c>
      <c r="K21" s="139" t="s">
        <v>83</v>
      </c>
      <c r="L21" s="137"/>
      <c r="M21" s="215" t="s">
        <v>23</v>
      </c>
    </row>
    <row r="22" ht="21.75" customHeight="1" spans="1:16">
      <c r="A22" s="122">
        <v>20</v>
      </c>
      <c r="B22" s="127" t="s">
        <v>84</v>
      </c>
      <c r="C22" s="127" t="s">
        <v>18</v>
      </c>
      <c r="D22" s="123" t="s">
        <v>44</v>
      </c>
      <c r="E22" s="137" t="s">
        <v>27</v>
      </c>
      <c r="F22" s="125" t="s">
        <v>21</v>
      </c>
      <c r="G22" s="176">
        <v>13512221946</v>
      </c>
      <c r="H22" s="128"/>
      <c r="I22" s="128"/>
      <c r="J22" s="128"/>
      <c r="K22" s="125"/>
      <c r="L22" s="125"/>
      <c r="M22" s="215"/>
    </row>
    <row r="23" ht="21.75" customHeight="1" spans="1:16">
      <c r="A23" s="122">
        <v>21</v>
      </c>
      <c r="B23" s="137" t="s">
        <v>85</v>
      </c>
      <c r="C23" s="141" t="s">
        <v>36</v>
      </c>
      <c r="D23" s="137" t="s">
        <v>86</v>
      </c>
      <c r="E23" s="137" t="s">
        <v>87</v>
      </c>
      <c r="F23" s="139" t="s">
        <v>21</v>
      </c>
      <c r="G23" s="122">
        <v>13810063801</v>
      </c>
      <c r="H23" s="142">
        <v>42613</v>
      </c>
      <c r="I23" s="142">
        <f>EDATE(H23,36)-1</f>
        <v>43707</v>
      </c>
      <c r="J23" s="148">
        <f ca="1" t="shared" ref="J23:J38" si="2">ROUND(I23-NOW(),0)</f>
        <v>-2345</v>
      </c>
      <c r="K23" s="139" t="s">
        <v>88</v>
      </c>
      <c r="L23" s="137" t="s">
        <v>89</v>
      </c>
      <c r="M23" s="215" t="s">
        <v>23</v>
      </c>
    </row>
    <row r="24" ht="21.75" customHeight="1" spans="1:16">
      <c r="A24" s="122">
        <v>22</v>
      </c>
      <c r="B24" s="137" t="s">
        <v>90</v>
      </c>
      <c r="C24" s="141" t="s">
        <v>18</v>
      </c>
      <c r="D24" s="137" t="s">
        <v>91</v>
      </c>
      <c r="E24" s="137" t="s">
        <v>59</v>
      </c>
      <c r="F24" s="139" t="s">
        <v>21</v>
      </c>
      <c r="G24" s="147">
        <v>18501363902</v>
      </c>
      <c r="H24" s="142">
        <v>42644</v>
      </c>
      <c r="I24" s="142">
        <f>EDATE(H24,36)-1</f>
        <v>43738</v>
      </c>
      <c r="J24" s="148">
        <f ca="1" t="shared" si="2"/>
        <v>-2314</v>
      </c>
      <c r="K24" s="139" t="s">
        <v>92</v>
      </c>
      <c r="L24" s="137"/>
      <c r="M24" s="215" t="s">
        <v>23</v>
      </c>
    </row>
    <row r="25" ht="21.75" customHeight="1" spans="1:16">
      <c r="A25" s="122">
        <v>23</v>
      </c>
      <c r="B25" s="141" t="s">
        <v>93</v>
      </c>
      <c r="C25" s="141" t="s">
        <v>52</v>
      </c>
      <c r="D25" s="137" t="s">
        <v>94</v>
      </c>
      <c r="E25" s="137" t="s">
        <v>33</v>
      </c>
      <c r="F25" s="139" t="s">
        <v>21</v>
      </c>
      <c r="G25" s="147">
        <v>15120003835</v>
      </c>
      <c r="H25" s="142">
        <v>42217</v>
      </c>
      <c r="I25" s="142">
        <f>EDATE(H25,24)-1</f>
        <v>42947</v>
      </c>
      <c r="J25" s="148">
        <f ca="1" t="shared" si="2"/>
        <v>-3105</v>
      </c>
      <c r="K25" s="139"/>
      <c r="L25" s="137"/>
      <c r="M25" s="215" t="s">
        <v>23</v>
      </c>
      <c r="P25" s="261" t="s">
        <v>95</v>
      </c>
    </row>
    <row r="26" ht="22.5" customHeight="1" spans="1:16">
      <c r="A26" s="122">
        <v>24</v>
      </c>
      <c r="B26" s="137" t="s">
        <v>96</v>
      </c>
      <c r="C26" s="141" t="s">
        <v>36</v>
      </c>
      <c r="D26" s="137" t="s">
        <v>86</v>
      </c>
      <c r="E26" s="137" t="s">
        <v>97</v>
      </c>
      <c r="F26" s="139" t="s">
        <v>21</v>
      </c>
      <c r="G26" s="147">
        <v>13488675187</v>
      </c>
      <c r="H26" s="142">
        <v>42643</v>
      </c>
      <c r="I26" s="142">
        <f>EDATE(H26,36)-1</f>
        <v>43737</v>
      </c>
      <c r="J26" s="148">
        <f ca="1" t="shared" si="2"/>
        <v>-2315</v>
      </c>
      <c r="K26" s="137" t="s">
        <v>98</v>
      </c>
      <c r="L26" s="144" t="s">
        <v>99</v>
      </c>
      <c r="M26" s="215" t="s">
        <v>23</v>
      </c>
    </row>
    <row r="27" ht="21.75" customHeight="1" spans="1:16">
      <c r="A27" s="122">
        <v>25</v>
      </c>
      <c r="B27" s="141" t="s">
        <v>100</v>
      </c>
      <c r="C27" s="141" t="s">
        <v>61</v>
      </c>
      <c r="D27" s="137" t="s">
        <v>101</v>
      </c>
      <c r="E27" s="137" t="s">
        <v>102</v>
      </c>
      <c r="F27" s="139" t="s">
        <v>21</v>
      </c>
      <c r="G27" s="153">
        <v>13691485739</v>
      </c>
      <c r="H27" s="142">
        <v>42308</v>
      </c>
      <c r="I27" s="142">
        <f>EDATE(H27,36)-1</f>
        <v>43403</v>
      </c>
      <c r="J27" s="148">
        <f ca="1" t="shared" si="2"/>
        <v>-2649</v>
      </c>
      <c r="K27" s="139" t="s">
        <v>103</v>
      </c>
      <c r="L27" s="139"/>
      <c r="M27" s="215" t="s">
        <v>104</v>
      </c>
    </row>
    <row r="28" ht="21.75" customHeight="1" spans="1:16">
      <c r="A28" s="122">
        <v>26</v>
      </c>
      <c r="B28" s="141" t="s">
        <v>105</v>
      </c>
      <c r="C28" s="141" t="s">
        <v>36</v>
      </c>
      <c r="D28" s="137" t="s">
        <v>106</v>
      </c>
      <c r="E28" s="137" t="s">
        <v>107</v>
      </c>
      <c r="F28" s="139" t="s">
        <v>21</v>
      </c>
      <c r="G28" s="153">
        <v>18631161993</v>
      </c>
      <c r="H28" s="142">
        <v>42556</v>
      </c>
      <c r="I28" s="142">
        <f>EDATE(H28,36)-1</f>
        <v>43650</v>
      </c>
      <c r="J28" s="148">
        <f ca="1" t="shared" si="2"/>
        <v>-2402</v>
      </c>
      <c r="K28" s="139"/>
      <c r="L28" s="139" t="s">
        <v>108</v>
      </c>
      <c r="M28" s="215" t="s">
        <v>23</v>
      </c>
      <c r="P28" s="261" t="s">
        <v>109</v>
      </c>
    </row>
    <row r="29" ht="21.75" customHeight="1" spans="1:16">
      <c r="A29" s="122">
        <v>27</v>
      </c>
      <c r="B29" s="141" t="s">
        <v>110</v>
      </c>
      <c r="C29" s="141" t="s">
        <v>18</v>
      </c>
      <c r="D29" s="137" t="s">
        <v>32</v>
      </c>
      <c r="E29" s="137" t="s">
        <v>33</v>
      </c>
      <c r="F29" s="139" t="s">
        <v>21</v>
      </c>
      <c r="G29" s="147">
        <v>18610352132</v>
      </c>
      <c r="H29" s="142">
        <v>42217</v>
      </c>
      <c r="I29" s="142">
        <f>EDATE(H29,24)-1</f>
        <v>42947</v>
      </c>
      <c r="J29" s="148">
        <f ca="1" t="shared" si="2"/>
        <v>-3105</v>
      </c>
      <c r="K29" s="139"/>
      <c r="L29" s="137"/>
      <c r="M29" s="215" t="s">
        <v>23</v>
      </c>
    </row>
    <row r="30" ht="21.75" customHeight="1" spans="1:16">
      <c r="A30" s="122">
        <v>28</v>
      </c>
      <c r="B30" s="137" t="s">
        <v>111</v>
      </c>
      <c r="C30" s="141" t="s">
        <v>18</v>
      </c>
      <c r="D30" s="137" t="s">
        <v>44</v>
      </c>
      <c r="E30" s="137" t="s">
        <v>59</v>
      </c>
      <c r="F30" s="139" t="s">
        <v>21</v>
      </c>
      <c r="G30" s="122">
        <v>13621942896</v>
      </c>
      <c r="H30" s="142">
        <v>42706</v>
      </c>
      <c r="I30" s="142">
        <f>EDATE(H30,36)-1</f>
        <v>43800</v>
      </c>
      <c r="J30" s="148">
        <f ca="1" t="shared" si="2"/>
        <v>-2252</v>
      </c>
      <c r="K30" s="139" t="s">
        <v>112</v>
      </c>
      <c r="L30" s="137"/>
      <c r="M30" s="215" t="s">
        <v>23</v>
      </c>
    </row>
    <row r="31" ht="21.75" customHeight="1" spans="1:16">
      <c r="A31" s="122">
        <v>29</v>
      </c>
      <c r="B31" s="137" t="s">
        <v>113</v>
      </c>
      <c r="C31" s="141" t="s">
        <v>25</v>
      </c>
      <c r="D31" s="137" t="s">
        <v>114</v>
      </c>
      <c r="E31" s="137" t="s">
        <v>115</v>
      </c>
      <c r="F31" s="139" t="s">
        <v>21</v>
      </c>
      <c r="G31" s="122">
        <v>18501037152</v>
      </c>
      <c r="H31" s="142">
        <v>42736</v>
      </c>
      <c r="I31" s="142">
        <v>43831</v>
      </c>
      <c r="J31" s="148">
        <f ca="1" t="shared" si="2"/>
        <v>-2221</v>
      </c>
      <c r="K31" s="139" t="s">
        <v>116</v>
      </c>
      <c r="L31" s="137"/>
      <c r="M31" s="215" t="s">
        <v>23</v>
      </c>
    </row>
    <row r="32" ht="21.75" customHeight="1" spans="1:16">
      <c r="A32" s="122">
        <v>30</v>
      </c>
      <c r="B32" s="137" t="s">
        <v>117</v>
      </c>
      <c r="C32" s="141" t="s">
        <v>18</v>
      </c>
      <c r="D32" s="137" t="s">
        <v>118</v>
      </c>
      <c r="E32" s="137" t="s">
        <v>119</v>
      </c>
      <c r="F32" s="139" t="s">
        <v>21</v>
      </c>
      <c r="G32" s="122">
        <v>18317011570</v>
      </c>
      <c r="H32" s="142">
        <v>42461</v>
      </c>
      <c r="I32" s="142">
        <f>EDATE(H32,36)-1</f>
        <v>43555</v>
      </c>
      <c r="J32" s="148">
        <f ca="1" t="shared" si="2"/>
        <v>-2497</v>
      </c>
      <c r="K32" s="139"/>
      <c r="L32" s="137" t="s">
        <v>120</v>
      </c>
      <c r="M32" s="215" t="s">
        <v>23</v>
      </c>
    </row>
    <row r="33" ht="21.75" customHeight="1" spans="1:16">
      <c r="A33" s="122">
        <v>31</v>
      </c>
      <c r="B33" s="137" t="s">
        <v>121</v>
      </c>
      <c r="C33" s="137" t="s">
        <v>78</v>
      </c>
      <c r="D33" s="137" t="s">
        <v>79</v>
      </c>
      <c r="E33" s="137" t="s">
        <v>122</v>
      </c>
      <c r="F33" s="139" t="s">
        <v>21</v>
      </c>
      <c r="G33" s="122">
        <v>18600678861</v>
      </c>
      <c r="H33" s="142">
        <v>42767</v>
      </c>
      <c r="I33" s="142">
        <v>43862</v>
      </c>
      <c r="J33" s="148">
        <f ca="1" t="shared" si="2"/>
        <v>-2190</v>
      </c>
      <c r="K33" s="137" t="s">
        <v>123</v>
      </c>
      <c r="L33" s="137"/>
      <c r="M33" s="215" t="s">
        <v>23</v>
      </c>
    </row>
    <row r="34" ht="21.75" customHeight="1" spans="1:16">
      <c r="A34" s="122">
        <v>32</v>
      </c>
      <c r="B34" s="137" t="s">
        <v>124</v>
      </c>
      <c r="C34" s="141" t="s">
        <v>52</v>
      </c>
      <c r="D34" s="137" t="s">
        <v>125</v>
      </c>
      <c r="E34" s="137" t="s">
        <v>126</v>
      </c>
      <c r="F34" s="139" t="s">
        <v>21</v>
      </c>
      <c r="G34" s="122">
        <v>13522226860</v>
      </c>
      <c r="H34" s="142">
        <v>42767</v>
      </c>
      <c r="I34" s="142">
        <v>43862</v>
      </c>
      <c r="J34" s="148">
        <f ca="1" t="shared" si="2"/>
        <v>-2190</v>
      </c>
      <c r="K34" s="139"/>
      <c r="L34" s="137"/>
      <c r="M34" s="215" t="s">
        <v>23</v>
      </c>
    </row>
    <row r="35" ht="21.75" customHeight="1" spans="1:16">
      <c r="A35" s="122">
        <v>33</v>
      </c>
      <c r="B35" s="141" t="s">
        <v>127</v>
      </c>
      <c r="C35" s="141" t="s">
        <v>61</v>
      </c>
      <c r="D35" s="137" t="s">
        <v>62</v>
      </c>
      <c r="E35" s="137" t="s">
        <v>63</v>
      </c>
      <c r="F35" s="139" t="s">
        <v>21</v>
      </c>
      <c r="G35" s="143">
        <v>18600501445</v>
      </c>
      <c r="H35" s="142">
        <v>42747</v>
      </c>
      <c r="I35" s="142">
        <v>43842</v>
      </c>
      <c r="J35" s="148">
        <f ca="1" t="shared" si="2"/>
        <v>-2210</v>
      </c>
      <c r="K35" s="139" t="s">
        <v>128</v>
      </c>
      <c r="L35" s="139"/>
      <c r="M35" s="215" t="s">
        <v>23</v>
      </c>
    </row>
    <row r="36" ht="21.75" customHeight="1" spans="1:16">
      <c r="A36" s="122">
        <v>34</v>
      </c>
      <c r="B36" s="137" t="s">
        <v>129</v>
      </c>
      <c r="C36" s="141" t="s">
        <v>36</v>
      </c>
      <c r="D36" s="137" t="s">
        <v>130</v>
      </c>
      <c r="E36" s="137" t="s">
        <v>107</v>
      </c>
      <c r="F36" s="139" t="s">
        <v>21</v>
      </c>
      <c r="G36" s="122">
        <v>18510919572</v>
      </c>
      <c r="H36" s="142">
        <v>42747</v>
      </c>
      <c r="I36" s="142">
        <v>43842</v>
      </c>
      <c r="J36" s="148">
        <f ca="1" t="shared" si="2"/>
        <v>-2210</v>
      </c>
      <c r="K36" s="137" t="s">
        <v>128</v>
      </c>
      <c r="L36" s="137"/>
      <c r="M36" s="215" t="s">
        <v>23</v>
      </c>
    </row>
    <row r="37" ht="21.75" customHeight="1" spans="1:16">
      <c r="A37" s="122">
        <v>35</v>
      </c>
      <c r="B37" s="141" t="s">
        <v>131</v>
      </c>
      <c r="C37" s="141" t="s">
        <v>132</v>
      </c>
      <c r="D37" s="137" t="s">
        <v>133</v>
      </c>
      <c r="E37" s="137" t="s">
        <v>134</v>
      </c>
      <c r="F37" s="139" t="s">
        <v>21</v>
      </c>
      <c r="G37" s="143">
        <v>13910207259</v>
      </c>
      <c r="H37" s="142">
        <v>42795</v>
      </c>
      <c r="I37" s="142">
        <v>43891</v>
      </c>
      <c r="J37" s="148">
        <f ca="1" t="shared" si="2"/>
        <v>-2161</v>
      </c>
      <c r="K37" s="139"/>
      <c r="L37" s="139"/>
      <c r="M37" s="215" t="s">
        <v>23</v>
      </c>
    </row>
    <row r="38" s="94" customFormat="1" ht="21.75" customHeight="1" spans="1:16">
      <c r="A38" s="122">
        <v>36</v>
      </c>
      <c r="B38" s="141" t="s">
        <v>135</v>
      </c>
      <c r="C38" s="137" t="s">
        <v>36</v>
      </c>
      <c r="D38" s="137" t="s">
        <v>86</v>
      </c>
      <c r="E38" s="137" t="s">
        <v>136</v>
      </c>
      <c r="F38" s="139" t="s">
        <v>137</v>
      </c>
      <c r="G38" s="276">
        <v>18961663113</v>
      </c>
      <c r="H38" s="142">
        <v>42796</v>
      </c>
      <c r="I38" s="142">
        <v>43892</v>
      </c>
      <c r="J38" s="148">
        <f ca="1" t="shared" si="2"/>
        <v>-2160</v>
      </c>
      <c r="K38" s="139" t="s">
        <v>138</v>
      </c>
      <c r="L38" s="139"/>
      <c r="M38" s="137" t="s">
        <v>23</v>
      </c>
    </row>
    <row r="39" ht="21.75" customHeight="1" spans="1:16">
      <c r="A39" s="122">
        <v>37</v>
      </c>
      <c r="B39" s="127" t="s">
        <v>139</v>
      </c>
      <c r="C39" s="123" t="s">
        <v>18</v>
      </c>
      <c r="D39" s="123" t="s">
        <v>58</v>
      </c>
      <c r="E39" s="137" t="s">
        <v>27</v>
      </c>
      <c r="F39" s="125" t="s">
        <v>21</v>
      </c>
      <c r="G39" s="176">
        <v>13011264626</v>
      </c>
      <c r="H39" s="128"/>
      <c r="I39" s="128"/>
      <c r="J39" s="135"/>
      <c r="K39" s="125"/>
      <c r="L39" s="125" t="s">
        <v>140</v>
      </c>
      <c r="M39" s="215"/>
    </row>
    <row r="40" ht="21.75" customHeight="1" spans="1:16">
      <c r="A40" s="122">
        <v>38</v>
      </c>
      <c r="B40" s="270" t="s">
        <v>141</v>
      </c>
      <c r="C40" s="272" t="s">
        <v>18</v>
      </c>
      <c r="D40" s="272" t="s">
        <v>44</v>
      </c>
      <c r="E40" s="137" t="s">
        <v>27</v>
      </c>
      <c r="F40" s="272" t="s">
        <v>21</v>
      </c>
      <c r="G40" s="277">
        <v>17888825873</v>
      </c>
      <c r="H40" s="274"/>
      <c r="I40" s="274"/>
      <c r="J40" s="275"/>
      <c r="K40" s="272"/>
      <c r="L40" s="272"/>
      <c r="M40" s="215"/>
    </row>
    <row r="41" s="94" customFormat="1" ht="21.75" customHeight="1" spans="1:16">
      <c r="A41" s="122">
        <v>39</v>
      </c>
      <c r="B41" s="141" t="s">
        <v>142</v>
      </c>
      <c r="C41" s="137" t="s">
        <v>36</v>
      </c>
      <c r="D41" s="137" t="s">
        <v>86</v>
      </c>
      <c r="E41" s="137" t="s">
        <v>143</v>
      </c>
      <c r="F41" s="139" t="s">
        <v>137</v>
      </c>
      <c r="G41" s="276">
        <v>18951511113</v>
      </c>
      <c r="H41" s="140">
        <v>42810</v>
      </c>
      <c r="I41" s="142">
        <v>43906</v>
      </c>
      <c r="J41" s="148">
        <f ca="1">ROUND(I41-NOW(),0)</f>
        <v>-2146</v>
      </c>
      <c r="K41" s="139" t="s">
        <v>138</v>
      </c>
      <c r="L41" s="139"/>
      <c r="M41" s="137" t="s">
        <v>23</v>
      </c>
    </row>
    <row r="42" ht="21.75" customHeight="1" spans="1:16">
      <c r="A42" s="122">
        <v>40</v>
      </c>
      <c r="B42" s="141" t="s">
        <v>144</v>
      </c>
      <c r="C42" s="141" t="s">
        <v>36</v>
      </c>
      <c r="D42" s="137" t="s">
        <v>145</v>
      </c>
      <c r="E42" s="137" t="s">
        <v>97</v>
      </c>
      <c r="F42" s="139" t="s">
        <v>21</v>
      </c>
      <c r="G42" s="184">
        <v>13811491852</v>
      </c>
      <c r="H42" s="142">
        <v>42817</v>
      </c>
      <c r="I42" s="142">
        <v>43913</v>
      </c>
      <c r="J42" s="148">
        <f ca="1">ROUND(I42-NOW(),0)</f>
        <v>-2139</v>
      </c>
      <c r="K42" s="144" t="s">
        <v>146</v>
      </c>
      <c r="L42" s="139"/>
      <c r="M42" s="215" t="s">
        <v>23</v>
      </c>
    </row>
    <row r="43" ht="21.75" customHeight="1" spans="1:16">
      <c r="A43" s="122">
        <v>41</v>
      </c>
      <c r="B43" s="141" t="s">
        <v>147</v>
      </c>
      <c r="C43" s="141" t="s">
        <v>52</v>
      </c>
      <c r="D43" s="137" t="s">
        <v>94</v>
      </c>
      <c r="E43" s="137" t="s">
        <v>33</v>
      </c>
      <c r="F43" s="139" t="s">
        <v>21</v>
      </c>
      <c r="G43" s="143">
        <v>13439689801</v>
      </c>
      <c r="H43" s="142">
        <v>42333</v>
      </c>
      <c r="I43" s="142">
        <f>EDATE(H43,36)-1</f>
        <v>43428</v>
      </c>
      <c r="J43" s="148">
        <f ca="1">ROUND(I43-NOW(),0)</f>
        <v>-2624</v>
      </c>
      <c r="K43" s="139"/>
      <c r="L43" s="139"/>
      <c r="M43" s="215" t="s">
        <v>23</v>
      </c>
      <c r="P43" s="261" t="s">
        <v>148</v>
      </c>
    </row>
    <row r="44" s="259" customFormat="1" ht="21.75" customHeight="1" spans="1:16">
      <c r="A44" s="192">
        <v>42</v>
      </c>
      <c r="B44" s="196" t="s">
        <v>149</v>
      </c>
      <c r="C44" s="195" t="s">
        <v>36</v>
      </c>
      <c r="D44" s="195" t="s">
        <v>130</v>
      </c>
      <c r="E44" s="195" t="s">
        <v>56</v>
      </c>
      <c r="F44" s="194" t="s">
        <v>21</v>
      </c>
      <c r="G44" s="278">
        <v>18626321448</v>
      </c>
      <c r="H44" s="193">
        <v>42818</v>
      </c>
      <c r="I44" s="198">
        <v>43914</v>
      </c>
      <c r="J44" s="206">
        <f ca="1">ROUND(I44-NOW(),0)</f>
        <v>-2138</v>
      </c>
      <c r="K44" s="194" t="s">
        <v>150</v>
      </c>
      <c r="L44" s="194"/>
      <c r="M44" s="195" t="s">
        <v>23</v>
      </c>
      <c r="P44" s="259" t="s">
        <v>151</v>
      </c>
    </row>
    <row r="45" ht="21.75" customHeight="1" spans="1:16">
      <c r="A45" s="122">
        <v>43</v>
      </c>
      <c r="B45" s="141" t="s">
        <v>152</v>
      </c>
      <c r="C45" s="141" t="s">
        <v>36</v>
      </c>
      <c r="D45" s="137" t="s">
        <v>145</v>
      </c>
      <c r="E45" s="137" t="s">
        <v>153</v>
      </c>
      <c r="F45" s="139" t="s">
        <v>21</v>
      </c>
      <c r="G45" s="184">
        <v>13146666098</v>
      </c>
      <c r="H45" s="140">
        <v>42552</v>
      </c>
      <c r="I45" s="142">
        <v>43646</v>
      </c>
      <c r="J45" s="148">
        <f ca="1">ROUND(I45-NOW(),0)</f>
        <v>-2406</v>
      </c>
      <c r="K45" s="151" t="s">
        <v>154</v>
      </c>
      <c r="L45" s="139"/>
      <c r="M45" s="215" t="s">
        <v>23</v>
      </c>
    </row>
    <row r="46" ht="21.75" customHeight="1" spans="1:16">
      <c r="A46" s="122">
        <v>44</v>
      </c>
      <c r="B46" s="270" t="s">
        <v>155</v>
      </c>
      <c r="C46" s="272" t="s">
        <v>132</v>
      </c>
      <c r="D46" s="272" t="s">
        <v>133</v>
      </c>
      <c r="E46" s="137" t="s">
        <v>27</v>
      </c>
      <c r="F46" s="272" t="s">
        <v>21</v>
      </c>
      <c r="G46" s="277">
        <v>13021258394</v>
      </c>
      <c r="H46" s="274"/>
      <c r="I46" s="274"/>
      <c r="J46" s="275"/>
      <c r="K46" s="272"/>
      <c r="L46" s="272" t="s">
        <v>156</v>
      </c>
      <c r="M46" s="215"/>
    </row>
    <row r="47" ht="21.75" customHeight="1" spans="1:16">
      <c r="A47" s="122">
        <v>45</v>
      </c>
      <c r="B47" s="141" t="s">
        <v>157</v>
      </c>
      <c r="C47" s="141" t="s">
        <v>36</v>
      </c>
      <c r="D47" s="137" t="s">
        <v>130</v>
      </c>
      <c r="E47" s="137" t="s">
        <v>134</v>
      </c>
      <c r="F47" s="139" t="s">
        <v>21</v>
      </c>
      <c r="G47" s="184">
        <v>13488680171</v>
      </c>
      <c r="H47" s="140">
        <v>42824</v>
      </c>
      <c r="I47" s="142">
        <v>43920</v>
      </c>
      <c r="J47" s="148">
        <f ca="1" t="shared" ref="J47:J57" si="3">ROUND(I47-NOW(),0)</f>
        <v>-2132</v>
      </c>
      <c r="K47" s="139" t="s">
        <v>158</v>
      </c>
      <c r="L47" s="139"/>
      <c r="M47" s="215" t="s">
        <v>23</v>
      </c>
    </row>
    <row r="48" ht="21.75" customHeight="1" spans="1:16">
      <c r="A48" s="122">
        <v>46</v>
      </c>
      <c r="B48" s="141" t="s">
        <v>159</v>
      </c>
      <c r="C48" s="141" t="s">
        <v>36</v>
      </c>
      <c r="D48" s="137" t="s">
        <v>106</v>
      </c>
      <c r="E48" s="137" t="s">
        <v>136</v>
      </c>
      <c r="F48" s="139" t="s">
        <v>21</v>
      </c>
      <c r="G48" s="184">
        <v>18601213277</v>
      </c>
      <c r="H48" s="140">
        <v>42824</v>
      </c>
      <c r="I48" s="142">
        <f>EDATE(H48,36)-1</f>
        <v>43919</v>
      </c>
      <c r="J48" s="148">
        <f ca="1" t="shared" si="3"/>
        <v>-2133</v>
      </c>
      <c r="K48" s="139"/>
      <c r="L48" s="139"/>
      <c r="M48" s="215" t="s">
        <v>23</v>
      </c>
    </row>
    <row r="49" ht="21.75" customHeight="1" spans="1:16">
      <c r="A49" s="122">
        <v>47</v>
      </c>
      <c r="B49" s="141" t="s">
        <v>160</v>
      </c>
      <c r="C49" s="141" t="s">
        <v>18</v>
      </c>
      <c r="D49" s="137" t="s">
        <v>118</v>
      </c>
      <c r="E49" s="137" t="s">
        <v>59</v>
      </c>
      <c r="F49" s="139" t="s">
        <v>21</v>
      </c>
      <c r="G49" s="184">
        <v>13810886436</v>
      </c>
      <c r="H49" s="140">
        <v>42825</v>
      </c>
      <c r="I49" s="142">
        <v>43921</v>
      </c>
      <c r="J49" s="148">
        <f ca="1" t="shared" si="3"/>
        <v>-2131</v>
      </c>
      <c r="K49" s="139" t="s">
        <v>161</v>
      </c>
      <c r="L49" s="139"/>
      <c r="M49" s="215" t="s">
        <v>23</v>
      </c>
    </row>
    <row r="50" ht="21.75" customHeight="1" spans="1:16">
      <c r="A50" s="122">
        <v>48</v>
      </c>
      <c r="B50" s="141" t="s">
        <v>162</v>
      </c>
      <c r="C50" s="141" t="s">
        <v>132</v>
      </c>
      <c r="D50" s="137" t="s">
        <v>133</v>
      </c>
      <c r="E50" s="137" t="s">
        <v>107</v>
      </c>
      <c r="F50" s="139" t="s">
        <v>21</v>
      </c>
      <c r="G50" s="184">
        <v>13911208261</v>
      </c>
      <c r="H50" s="140">
        <v>42838</v>
      </c>
      <c r="I50" s="142">
        <v>43934</v>
      </c>
      <c r="J50" s="148">
        <f ca="1" t="shared" si="3"/>
        <v>-2118</v>
      </c>
      <c r="K50" s="139" t="s">
        <v>163</v>
      </c>
      <c r="L50" s="139"/>
      <c r="M50" s="215" t="s">
        <v>23</v>
      </c>
      <c r="P50" s="261" t="s">
        <v>164</v>
      </c>
    </row>
    <row r="51" ht="21.75" customHeight="1" spans="1:16">
      <c r="A51" s="122">
        <v>49</v>
      </c>
      <c r="B51" s="141" t="s">
        <v>165</v>
      </c>
      <c r="C51" s="141" t="s">
        <v>61</v>
      </c>
      <c r="D51" s="137" t="s">
        <v>166</v>
      </c>
      <c r="E51" s="137" t="s">
        <v>167</v>
      </c>
      <c r="F51" s="139" t="s">
        <v>21</v>
      </c>
      <c r="G51" s="184">
        <v>18601968793</v>
      </c>
      <c r="H51" s="140">
        <v>42109</v>
      </c>
      <c r="I51" s="142">
        <v>43204</v>
      </c>
      <c r="J51" s="148">
        <f ca="1" t="shared" si="3"/>
        <v>-2848</v>
      </c>
      <c r="K51" s="139"/>
      <c r="L51" s="139" t="s">
        <v>168</v>
      </c>
      <c r="M51" s="215" t="s">
        <v>23</v>
      </c>
    </row>
    <row r="52" ht="21.75" customHeight="1" spans="1:16">
      <c r="A52" s="122">
        <v>50</v>
      </c>
      <c r="B52" s="141" t="s">
        <v>169</v>
      </c>
      <c r="C52" s="141" t="s">
        <v>25</v>
      </c>
      <c r="D52" s="137" t="s">
        <v>170</v>
      </c>
      <c r="E52" s="137" t="s">
        <v>45</v>
      </c>
      <c r="F52" s="139" t="s">
        <v>21</v>
      </c>
      <c r="G52" s="184">
        <v>15527712034</v>
      </c>
      <c r="H52" s="140">
        <v>42583</v>
      </c>
      <c r="I52" s="142">
        <f t="shared" ref="I52:I57" si="4">EDATE(H52,36)-1</f>
        <v>43677</v>
      </c>
      <c r="J52" s="148">
        <f ca="1" t="shared" si="3"/>
        <v>-2375</v>
      </c>
      <c r="K52" s="139"/>
      <c r="L52" s="151" t="s">
        <v>171</v>
      </c>
      <c r="M52" s="215" t="s">
        <v>23</v>
      </c>
      <c r="P52" s="261" t="s">
        <v>172</v>
      </c>
    </row>
    <row r="53" ht="21.75" customHeight="1" spans="1:16">
      <c r="A53" s="122">
        <v>51</v>
      </c>
      <c r="B53" s="141" t="s">
        <v>173</v>
      </c>
      <c r="C53" s="137" t="s">
        <v>78</v>
      </c>
      <c r="D53" s="137" t="s">
        <v>79</v>
      </c>
      <c r="E53" s="137" t="s">
        <v>174</v>
      </c>
      <c r="F53" s="139" t="s">
        <v>21</v>
      </c>
      <c r="G53" s="184">
        <v>18601977291</v>
      </c>
      <c r="H53" s="140" t="e">
        <f>#REF!</f>
        <v>#REF!</v>
      </c>
      <c r="I53" s="142" t="e">
        <f t="shared" si="4"/>
        <v>#REF!</v>
      </c>
      <c r="J53" s="148" t="e">
        <f ca="1" t="shared" si="3"/>
        <v>#REF!</v>
      </c>
      <c r="K53" s="139"/>
      <c r="L53" s="139" t="s">
        <v>175</v>
      </c>
      <c r="M53" s="215" t="s">
        <v>23</v>
      </c>
    </row>
    <row r="54" ht="21.75" customHeight="1" spans="1:16">
      <c r="A54" s="122">
        <v>52</v>
      </c>
      <c r="B54" s="141" t="s">
        <v>176</v>
      </c>
      <c r="C54" s="141" t="s">
        <v>132</v>
      </c>
      <c r="D54" s="137" t="s">
        <v>133</v>
      </c>
      <c r="E54" s="137" t="s">
        <v>20</v>
      </c>
      <c r="F54" s="139" t="s">
        <v>21</v>
      </c>
      <c r="G54" s="184">
        <v>13910635779</v>
      </c>
      <c r="H54" s="140" t="e">
        <f>#REF!</f>
        <v>#REF!</v>
      </c>
      <c r="I54" s="142" t="e">
        <f t="shared" si="4"/>
        <v>#REF!</v>
      </c>
      <c r="J54" s="148" t="e">
        <f ca="1" t="shared" si="3"/>
        <v>#REF!</v>
      </c>
      <c r="K54" s="139"/>
      <c r="L54" s="139"/>
      <c r="M54" s="215" t="s">
        <v>23</v>
      </c>
    </row>
    <row r="55" ht="21.75" customHeight="1" spans="1:16">
      <c r="A55" s="122">
        <v>53</v>
      </c>
      <c r="B55" s="141" t="s">
        <v>177</v>
      </c>
      <c r="C55" s="141" t="s">
        <v>72</v>
      </c>
      <c r="D55" s="137" t="s">
        <v>73</v>
      </c>
      <c r="E55" s="137" t="s">
        <v>178</v>
      </c>
      <c r="F55" s="139" t="s">
        <v>21</v>
      </c>
      <c r="G55" s="184">
        <v>13911253848</v>
      </c>
      <c r="H55" s="140" t="e">
        <f>#REF!</f>
        <v>#REF!</v>
      </c>
      <c r="I55" s="142" t="e">
        <f t="shared" si="4"/>
        <v>#REF!</v>
      </c>
      <c r="J55" s="148" t="e">
        <f ca="1" t="shared" si="3"/>
        <v>#REF!</v>
      </c>
      <c r="K55" s="137" t="s">
        <v>123</v>
      </c>
      <c r="L55" s="139"/>
      <c r="M55" s="215" t="s">
        <v>23</v>
      </c>
    </row>
    <row r="56" ht="21.75" customHeight="1" spans="1:16">
      <c r="A56" s="122">
        <v>54</v>
      </c>
      <c r="B56" s="141" t="s">
        <v>179</v>
      </c>
      <c r="C56" s="141" t="s">
        <v>36</v>
      </c>
      <c r="D56" s="137" t="s">
        <v>130</v>
      </c>
      <c r="E56" s="137" t="s">
        <v>65</v>
      </c>
      <c r="F56" s="139" t="s">
        <v>21</v>
      </c>
      <c r="G56" s="184">
        <v>18611728839</v>
      </c>
      <c r="H56" s="140" t="e">
        <f>#REF!</f>
        <v>#REF!</v>
      </c>
      <c r="I56" s="142" t="e">
        <f t="shared" si="4"/>
        <v>#REF!</v>
      </c>
      <c r="J56" s="148" t="e">
        <f ca="1" t="shared" si="3"/>
        <v>#REF!</v>
      </c>
      <c r="K56" s="139"/>
      <c r="L56" s="139"/>
      <c r="M56" s="215" t="s">
        <v>23</v>
      </c>
    </row>
    <row r="57" ht="21.75" customHeight="1" spans="1:16">
      <c r="A57" s="122">
        <v>55</v>
      </c>
      <c r="B57" s="141" t="s">
        <v>180</v>
      </c>
      <c r="C57" s="141" t="s">
        <v>25</v>
      </c>
      <c r="D57" s="137" t="s">
        <v>114</v>
      </c>
      <c r="E57" s="137" t="s">
        <v>181</v>
      </c>
      <c r="F57" s="139" t="s">
        <v>21</v>
      </c>
      <c r="G57" s="184">
        <v>13810154382</v>
      </c>
      <c r="H57" s="140" t="e">
        <f>#REF!</f>
        <v>#REF!</v>
      </c>
      <c r="I57" s="142" t="e">
        <f t="shared" si="4"/>
        <v>#REF!</v>
      </c>
      <c r="J57" s="148" t="e">
        <f ca="1" t="shared" si="3"/>
        <v>#REF!</v>
      </c>
      <c r="K57" s="139"/>
      <c r="L57" s="139"/>
      <c r="M57" s="215" t="s">
        <v>23</v>
      </c>
    </row>
    <row r="58" ht="21.75" customHeight="1" spans="1:16">
      <c r="A58" s="122">
        <v>56</v>
      </c>
      <c r="B58" s="127" t="s">
        <v>182</v>
      </c>
      <c r="C58" s="127" t="s">
        <v>18</v>
      </c>
      <c r="D58" s="123" t="s">
        <v>118</v>
      </c>
      <c r="E58" s="137" t="s">
        <v>27</v>
      </c>
      <c r="F58" s="125" t="s">
        <v>21</v>
      </c>
      <c r="G58" s="176">
        <v>13021134630</v>
      </c>
      <c r="H58" s="126"/>
      <c r="I58" s="128"/>
      <c r="J58" s="135"/>
      <c r="K58" s="125"/>
      <c r="L58" s="125"/>
      <c r="M58" s="215"/>
    </row>
    <row r="59" ht="21.75" customHeight="1" spans="1:16">
      <c r="A59" s="122">
        <v>57</v>
      </c>
      <c r="B59" s="270" t="s">
        <v>183</v>
      </c>
      <c r="C59" s="270" t="s">
        <v>18</v>
      </c>
      <c r="D59" s="272" t="s">
        <v>58</v>
      </c>
      <c r="E59" s="137" t="s">
        <v>27</v>
      </c>
      <c r="F59" s="272" t="s">
        <v>21</v>
      </c>
      <c r="G59" s="277">
        <v>13011260724</v>
      </c>
      <c r="H59" s="274"/>
      <c r="I59" s="274"/>
      <c r="J59" s="275"/>
      <c r="K59" s="272"/>
      <c r="L59" s="272" t="s">
        <v>184</v>
      </c>
      <c r="M59" s="215"/>
    </row>
    <row r="60" ht="21.75" customHeight="1" spans="1:16">
      <c r="A60" s="122">
        <v>58</v>
      </c>
      <c r="B60" s="270" t="s">
        <v>185</v>
      </c>
      <c r="C60" s="270" t="s">
        <v>18</v>
      </c>
      <c r="D60" s="272" t="s">
        <v>44</v>
      </c>
      <c r="E60" s="137" t="s">
        <v>27</v>
      </c>
      <c r="F60" s="272" t="s">
        <v>21</v>
      </c>
      <c r="G60" s="279">
        <v>18813062629</v>
      </c>
      <c r="H60" s="274"/>
      <c r="I60" s="274"/>
      <c r="J60" s="275"/>
      <c r="K60" s="272"/>
      <c r="L60" s="272"/>
      <c r="M60" s="215"/>
    </row>
    <row r="61" s="259" customFormat="1" ht="21.75" customHeight="1" spans="1:16">
      <c r="A61" s="192">
        <v>59</v>
      </c>
      <c r="B61" s="196" t="s">
        <v>186</v>
      </c>
      <c r="C61" s="196" t="s">
        <v>18</v>
      </c>
      <c r="D61" s="195" t="s">
        <v>91</v>
      </c>
      <c r="E61" s="195" t="s">
        <v>119</v>
      </c>
      <c r="F61" s="194" t="s">
        <v>21</v>
      </c>
      <c r="G61" s="280">
        <v>15120003872</v>
      </c>
      <c r="H61" s="193" t="e">
        <f>#REF!</f>
        <v>#REF!</v>
      </c>
      <c r="I61" s="198" t="e">
        <f>EDATE(H61,24)-1</f>
        <v>#REF!</v>
      </c>
      <c r="J61" s="206" t="e">
        <f ca="1">ROUND(I61-NOW(),0)</f>
        <v>#REF!</v>
      </c>
      <c r="K61" s="194" t="s">
        <v>187</v>
      </c>
      <c r="L61" s="194"/>
      <c r="M61" s="195" t="s">
        <v>23</v>
      </c>
      <c r="P61" s="259" t="s">
        <v>188</v>
      </c>
    </row>
    <row r="62" ht="21.75" customHeight="1" spans="1:16">
      <c r="A62" s="122">
        <v>60</v>
      </c>
      <c r="B62" s="141" t="s">
        <v>189</v>
      </c>
      <c r="C62" s="141" t="s">
        <v>36</v>
      </c>
      <c r="D62" s="137" t="s">
        <v>130</v>
      </c>
      <c r="E62" s="137" t="s">
        <v>56</v>
      </c>
      <c r="F62" s="139" t="s">
        <v>21</v>
      </c>
      <c r="G62" s="184">
        <v>13811625318</v>
      </c>
      <c r="H62" s="140" t="e">
        <f>#REF!</f>
        <v>#REF!</v>
      </c>
      <c r="I62" s="142" t="e">
        <f>EDATE(H62,36)-1</f>
        <v>#REF!</v>
      </c>
      <c r="J62" s="148" t="e">
        <f ca="1">ROUND(I62-NOW(),0)</f>
        <v>#REF!</v>
      </c>
      <c r="K62" s="139"/>
      <c r="L62" s="139"/>
      <c r="M62" s="215" t="s">
        <v>23</v>
      </c>
    </row>
    <row r="63" ht="21.75" customHeight="1" spans="1:16">
      <c r="A63" s="122">
        <v>61</v>
      </c>
      <c r="B63" s="141" t="s">
        <v>190</v>
      </c>
      <c r="C63" s="141" t="s">
        <v>36</v>
      </c>
      <c r="D63" s="137" t="s">
        <v>106</v>
      </c>
      <c r="E63" s="137" t="s">
        <v>191</v>
      </c>
      <c r="F63" s="139" t="s">
        <v>21</v>
      </c>
      <c r="G63" s="184">
        <v>18611024923</v>
      </c>
      <c r="H63" s="140" t="e">
        <f>#REF!</f>
        <v>#REF!</v>
      </c>
      <c r="I63" s="142" t="e">
        <f>EDATE(H63,36)-1</f>
        <v>#REF!</v>
      </c>
      <c r="J63" s="148" t="e">
        <f ca="1">ROUND(I63-NOW(),0)</f>
        <v>#REF!</v>
      </c>
      <c r="K63" s="139"/>
      <c r="L63" s="139"/>
      <c r="M63" s="215" t="s">
        <v>23</v>
      </c>
    </row>
    <row r="64" ht="21.75" customHeight="1" spans="1:16">
      <c r="A64" s="122">
        <v>62</v>
      </c>
      <c r="B64" s="141" t="s">
        <v>192</v>
      </c>
      <c r="C64" s="141" t="s">
        <v>36</v>
      </c>
      <c r="D64" s="137" t="s">
        <v>106</v>
      </c>
      <c r="E64" s="137" t="s">
        <v>181</v>
      </c>
      <c r="F64" s="139" t="s">
        <v>21</v>
      </c>
      <c r="G64" s="184">
        <v>13811551418</v>
      </c>
      <c r="H64" s="140" t="e">
        <f>#REF!</f>
        <v>#REF!</v>
      </c>
      <c r="I64" s="142" t="e">
        <f>EDATE(H64,36)-1</f>
        <v>#REF!</v>
      </c>
      <c r="J64" s="148" t="e">
        <f ca="1">ROUND(I64-NOW(),0)</f>
        <v>#REF!</v>
      </c>
      <c r="K64" s="139"/>
      <c r="L64" s="139"/>
      <c r="M64" s="215" t="s">
        <v>23</v>
      </c>
    </row>
    <row r="65" ht="21.75" customHeight="1" spans="1:16">
      <c r="A65" s="122">
        <v>63</v>
      </c>
      <c r="B65" s="127" t="s">
        <v>193</v>
      </c>
      <c r="C65" s="123" t="s">
        <v>52</v>
      </c>
      <c r="D65" s="123" t="s">
        <v>194</v>
      </c>
      <c r="E65" s="137" t="s">
        <v>27</v>
      </c>
      <c r="F65" s="125" t="s">
        <v>21</v>
      </c>
      <c r="G65" s="176">
        <v>13051867712</v>
      </c>
      <c r="H65" s="126"/>
      <c r="I65" s="128"/>
      <c r="J65" s="135"/>
      <c r="K65" s="125"/>
      <c r="L65" s="125" t="s">
        <v>140</v>
      </c>
      <c r="M65" s="215"/>
    </row>
    <row r="66" ht="21.75" customHeight="1" spans="1:16">
      <c r="A66" s="122">
        <v>64</v>
      </c>
      <c r="B66" s="141" t="s">
        <v>195</v>
      </c>
      <c r="C66" s="141" t="s">
        <v>78</v>
      </c>
      <c r="D66" s="137" t="s">
        <v>196</v>
      </c>
      <c r="E66" s="137" t="s">
        <v>74</v>
      </c>
      <c r="F66" s="139" t="s">
        <v>21</v>
      </c>
      <c r="G66" s="185">
        <v>18612257448</v>
      </c>
      <c r="H66" s="140" t="e">
        <f>#REF!</f>
        <v>#REF!</v>
      </c>
      <c r="I66" s="142" t="e">
        <f t="shared" ref="I66:I76" si="5">EDATE(H66,36)-1</f>
        <v>#REF!</v>
      </c>
      <c r="J66" s="148" t="e">
        <f ca="1" t="shared" ref="J66:J83" si="6">ROUND(I66-NOW(),0)</f>
        <v>#REF!</v>
      </c>
      <c r="K66" s="137" t="s">
        <v>123</v>
      </c>
      <c r="L66" s="139"/>
      <c r="M66" s="215" t="s">
        <v>23</v>
      </c>
    </row>
    <row r="67" ht="21.75" customHeight="1" spans="1:16">
      <c r="A67" s="122">
        <v>65</v>
      </c>
      <c r="B67" s="141" t="s">
        <v>197</v>
      </c>
      <c r="C67" s="141" t="s">
        <v>36</v>
      </c>
      <c r="D67" s="137" t="s">
        <v>106</v>
      </c>
      <c r="E67" s="137" t="s">
        <v>65</v>
      </c>
      <c r="F67" s="139" t="s">
        <v>21</v>
      </c>
      <c r="G67" s="185">
        <v>13124780171</v>
      </c>
      <c r="H67" s="140" t="e">
        <f>#REF!</f>
        <v>#REF!</v>
      </c>
      <c r="I67" s="142" t="e">
        <f t="shared" si="5"/>
        <v>#REF!</v>
      </c>
      <c r="J67" s="148" t="e">
        <f ca="1" t="shared" si="6"/>
        <v>#REF!</v>
      </c>
      <c r="K67" s="139"/>
      <c r="L67" s="139"/>
      <c r="M67" s="215" t="s">
        <v>23</v>
      </c>
    </row>
    <row r="68" ht="21.75" customHeight="1" spans="1:16">
      <c r="A68" s="122">
        <v>66</v>
      </c>
      <c r="B68" s="141" t="s">
        <v>198</v>
      </c>
      <c r="C68" s="141" t="s">
        <v>18</v>
      </c>
      <c r="D68" s="137" t="s">
        <v>91</v>
      </c>
      <c r="E68" s="137" t="s">
        <v>119</v>
      </c>
      <c r="F68" s="139" t="s">
        <v>21</v>
      </c>
      <c r="G68" s="184">
        <v>15652813707</v>
      </c>
      <c r="H68" s="140">
        <v>42562</v>
      </c>
      <c r="I68" s="142">
        <f t="shared" si="5"/>
        <v>43656</v>
      </c>
      <c r="J68" s="148">
        <f ca="1" t="shared" si="6"/>
        <v>-2396</v>
      </c>
      <c r="K68" s="139"/>
      <c r="L68" s="139" t="s">
        <v>199</v>
      </c>
      <c r="M68" s="215" t="s">
        <v>23</v>
      </c>
      <c r="P68" s="261" t="s">
        <v>200</v>
      </c>
    </row>
    <row r="69" ht="21.75" customHeight="1" spans="1:16">
      <c r="A69" s="122">
        <v>67</v>
      </c>
      <c r="B69" s="141" t="s">
        <v>201</v>
      </c>
      <c r="C69" s="141" t="s">
        <v>18</v>
      </c>
      <c r="D69" s="137" t="s">
        <v>58</v>
      </c>
      <c r="E69" s="137" t="s">
        <v>119</v>
      </c>
      <c r="F69" s="139" t="s">
        <v>21</v>
      </c>
      <c r="G69" s="184">
        <v>13810360932</v>
      </c>
      <c r="H69" s="140">
        <v>42552</v>
      </c>
      <c r="I69" s="142">
        <f t="shared" si="5"/>
        <v>43646</v>
      </c>
      <c r="J69" s="148">
        <f ca="1" t="shared" si="6"/>
        <v>-2406</v>
      </c>
      <c r="K69" s="139"/>
      <c r="L69" s="139"/>
      <c r="M69" s="215" t="s">
        <v>23</v>
      </c>
      <c r="P69" s="261" t="s">
        <v>202</v>
      </c>
    </row>
    <row r="70" ht="21.75" customHeight="1" spans="1:16">
      <c r="A70" s="122">
        <v>68</v>
      </c>
      <c r="B70" s="141" t="s">
        <v>203</v>
      </c>
      <c r="C70" s="137" t="s">
        <v>78</v>
      </c>
      <c r="D70" s="137" t="s">
        <v>79</v>
      </c>
      <c r="E70" s="137" t="s">
        <v>174</v>
      </c>
      <c r="F70" s="139" t="s">
        <v>21</v>
      </c>
      <c r="G70" s="184">
        <v>13691121997</v>
      </c>
      <c r="H70" s="140" t="e">
        <f>#REF!</f>
        <v>#REF!</v>
      </c>
      <c r="I70" s="142" t="e">
        <f t="shared" si="5"/>
        <v>#REF!</v>
      </c>
      <c r="J70" s="148" t="e">
        <f ca="1" t="shared" si="6"/>
        <v>#REF!</v>
      </c>
      <c r="K70" s="137" t="s">
        <v>123</v>
      </c>
      <c r="L70" s="139"/>
      <c r="M70" s="215" t="s">
        <v>23</v>
      </c>
    </row>
    <row r="71" ht="21.75" customHeight="1" spans="1:16">
      <c r="A71" s="122">
        <v>69</v>
      </c>
      <c r="B71" s="141" t="s">
        <v>204</v>
      </c>
      <c r="C71" s="141" t="s">
        <v>25</v>
      </c>
      <c r="D71" s="137" t="s">
        <v>205</v>
      </c>
      <c r="E71" s="137" t="s">
        <v>206</v>
      </c>
      <c r="F71" s="139" t="s">
        <v>21</v>
      </c>
      <c r="G71" s="184">
        <v>13811876860</v>
      </c>
      <c r="H71" s="140">
        <v>42233</v>
      </c>
      <c r="I71" s="142">
        <f t="shared" si="5"/>
        <v>43328</v>
      </c>
      <c r="J71" s="148">
        <f ca="1" t="shared" si="6"/>
        <v>-2724</v>
      </c>
      <c r="K71" s="139"/>
      <c r="L71" s="139"/>
      <c r="M71" s="215" t="s">
        <v>23</v>
      </c>
    </row>
    <row r="72" ht="21.75" customHeight="1" spans="1:16">
      <c r="A72" s="122">
        <v>70</v>
      </c>
      <c r="B72" s="141" t="s">
        <v>207</v>
      </c>
      <c r="C72" s="141" t="s">
        <v>36</v>
      </c>
      <c r="D72" s="137" t="s">
        <v>106</v>
      </c>
      <c r="E72" s="137" t="s">
        <v>208</v>
      </c>
      <c r="F72" s="139" t="s">
        <v>21</v>
      </c>
      <c r="G72" s="184">
        <v>13522606865</v>
      </c>
      <c r="H72" s="140" t="e">
        <f>#REF!</f>
        <v>#REF!</v>
      </c>
      <c r="I72" s="142" t="e">
        <f t="shared" si="5"/>
        <v>#REF!</v>
      </c>
      <c r="J72" s="148" t="e">
        <f ca="1" t="shared" si="6"/>
        <v>#REF!</v>
      </c>
      <c r="K72" s="139"/>
      <c r="L72" s="139"/>
      <c r="M72" s="215" t="s">
        <v>23</v>
      </c>
    </row>
    <row r="73" ht="21.75" customHeight="1" spans="1:16">
      <c r="A73" s="122">
        <v>71</v>
      </c>
      <c r="B73" s="141" t="s">
        <v>209</v>
      </c>
      <c r="C73" s="141" t="s">
        <v>36</v>
      </c>
      <c r="D73" s="137" t="s">
        <v>130</v>
      </c>
      <c r="E73" s="137" t="s">
        <v>56</v>
      </c>
      <c r="F73" s="139" t="s">
        <v>21</v>
      </c>
      <c r="G73" s="184">
        <v>18600982631</v>
      </c>
      <c r="H73" s="140" t="e">
        <f>#REF!</f>
        <v>#REF!</v>
      </c>
      <c r="I73" s="142" t="e">
        <f t="shared" si="5"/>
        <v>#REF!</v>
      </c>
      <c r="J73" s="148" t="e">
        <f ca="1" t="shared" si="6"/>
        <v>#REF!</v>
      </c>
      <c r="K73" s="139"/>
      <c r="L73" s="139"/>
      <c r="M73" s="215" t="s">
        <v>23</v>
      </c>
    </row>
    <row r="74" s="94" customFormat="1" ht="21.75" customHeight="1" spans="1:16">
      <c r="A74" s="122">
        <v>72</v>
      </c>
      <c r="B74" s="141" t="s">
        <v>210</v>
      </c>
      <c r="C74" s="141" t="s">
        <v>132</v>
      </c>
      <c r="D74" s="137" t="s">
        <v>133</v>
      </c>
      <c r="E74" s="137" t="s">
        <v>56</v>
      </c>
      <c r="F74" s="139" t="s">
        <v>21</v>
      </c>
      <c r="G74" s="184">
        <v>13641213220</v>
      </c>
      <c r="H74" s="140" t="e">
        <f>#REF!</f>
        <v>#REF!</v>
      </c>
      <c r="I74" s="142" t="e">
        <f t="shared" si="5"/>
        <v>#REF!</v>
      </c>
      <c r="J74" s="148" t="e">
        <f ca="1" t="shared" si="6"/>
        <v>#REF!</v>
      </c>
      <c r="K74" s="139"/>
      <c r="L74" s="139"/>
      <c r="M74" s="215" t="s">
        <v>23</v>
      </c>
      <c r="N74" s="261"/>
      <c r="O74" s="261"/>
    </row>
    <row r="75" ht="21.75" customHeight="1" spans="1:16">
      <c r="A75" s="122">
        <v>73</v>
      </c>
      <c r="B75" s="141" t="s">
        <v>211</v>
      </c>
      <c r="C75" s="141" t="s">
        <v>61</v>
      </c>
      <c r="D75" s="137" t="s">
        <v>212</v>
      </c>
      <c r="E75" s="137" t="s">
        <v>213</v>
      </c>
      <c r="F75" s="139" t="s">
        <v>21</v>
      </c>
      <c r="G75" s="184">
        <v>18515156965</v>
      </c>
      <c r="H75" s="140" t="e">
        <f>#REF!</f>
        <v>#REF!</v>
      </c>
      <c r="I75" s="142" t="e">
        <f t="shared" si="5"/>
        <v>#REF!</v>
      </c>
      <c r="J75" s="148" t="e">
        <f ca="1" t="shared" si="6"/>
        <v>#REF!</v>
      </c>
      <c r="K75" s="139"/>
      <c r="L75" s="139"/>
      <c r="M75" s="215" t="s">
        <v>23</v>
      </c>
    </row>
    <row r="76" s="94" customFormat="1" ht="21.75" customHeight="1" spans="1:16">
      <c r="A76" s="122">
        <v>74</v>
      </c>
      <c r="B76" s="141" t="s">
        <v>214</v>
      </c>
      <c r="C76" s="141" t="s">
        <v>25</v>
      </c>
      <c r="D76" s="137" t="s">
        <v>215</v>
      </c>
      <c r="E76" s="137" t="s">
        <v>216</v>
      </c>
      <c r="F76" s="139" t="s">
        <v>21</v>
      </c>
      <c r="G76" s="184">
        <v>18612210096</v>
      </c>
      <c r="H76" s="140" t="e">
        <f>#REF!</f>
        <v>#REF!</v>
      </c>
      <c r="I76" s="142" t="e">
        <f t="shared" si="5"/>
        <v>#REF!</v>
      </c>
      <c r="J76" s="148" t="e">
        <f ca="1" t="shared" si="6"/>
        <v>#REF!</v>
      </c>
      <c r="K76" s="137" t="s">
        <v>123</v>
      </c>
      <c r="L76" s="139"/>
      <c r="M76" s="215" t="s">
        <v>23</v>
      </c>
      <c r="N76" s="261"/>
      <c r="O76" s="261"/>
    </row>
    <row r="77" ht="21.75" customHeight="1" spans="1:16">
      <c r="A77" s="122">
        <v>75</v>
      </c>
      <c r="B77" s="141" t="s">
        <v>217</v>
      </c>
      <c r="C77" s="141" t="s">
        <v>78</v>
      </c>
      <c r="D77" s="137" t="s">
        <v>218</v>
      </c>
      <c r="E77" s="137" t="s">
        <v>219</v>
      </c>
      <c r="F77" s="139" t="s">
        <v>220</v>
      </c>
      <c r="G77" s="223">
        <v>18613078928</v>
      </c>
      <c r="H77" s="142">
        <v>42635</v>
      </c>
      <c r="I77" s="142">
        <v>43729</v>
      </c>
      <c r="J77" s="148">
        <f ca="1" t="shared" si="6"/>
        <v>-2323</v>
      </c>
      <c r="K77" s="139"/>
      <c r="L77" s="139"/>
      <c r="M77" s="137"/>
      <c r="N77" s="94"/>
      <c r="O77" s="94"/>
    </row>
    <row r="78" s="94" customFormat="1" ht="21.75" customHeight="1" spans="1:16">
      <c r="A78" s="122">
        <v>76</v>
      </c>
      <c r="B78" s="141" t="s">
        <v>221</v>
      </c>
      <c r="C78" s="141" t="s">
        <v>36</v>
      </c>
      <c r="D78" s="141" t="s">
        <v>86</v>
      </c>
      <c r="E78" s="137" t="s">
        <v>153</v>
      </c>
      <c r="F78" s="139" t="s">
        <v>220</v>
      </c>
      <c r="G78" s="223" t="s">
        <v>222</v>
      </c>
      <c r="H78" s="142">
        <v>42298</v>
      </c>
      <c r="I78" s="142">
        <v>43028</v>
      </c>
      <c r="J78" s="148">
        <f ca="1" t="shared" si="6"/>
        <v>-3024</v>
      </c>
      <c r="K78" s="139"/>
      <c r="L78" s="139"/>
      <c r="M78" s="137"/>
    </row>
    <row r="79" s="94" customFormat="1" ht="21.75" customHeight="1" spans="1:16">
      <c r="A79" s="122">
        <v>77</v>
      </c>
      <c r="B79" s="141" t="s">
        <v>223</v>
      </c>
      <c r="C79" s="141" t="s">
        <v>224</v>
      </c>
      <c r="D79" s="137" t="s">
        <v>225</v>
      </c>
      <c r="E79" s="137" t="s">
        <v>226</v>
      </c>
      <c r="F79" s="139" t="s">
        <v>227</v>
      </c>
      <c r="G79" s="223" t="s">
        <v>228</v>
      </c>
      <c r="H79" s="142">
        <v>42299</v>
      </c>
      <c r="I79" s="142">
        <v>43029</v>
      </c>
      <c r="J79" s="148">
        <f ca="1" t="shared" si="6"/>
        <v>-3023</v>
      </c>
      <c r="K79" s="139"/>
      <c r="L79" s="139"/>
      <c r="M79" s="137"/>
    </row>
    <row r="80" s="94" customFormat="1" ht="21.75" customHeight="1" spans="1:16">
      <c r="A80" s="122">
        <v>78</v>
      </c>
      <c r="B80" s="141" t="s">
        <v>229</v>
      </c>
      <c r="C80" s="141" t="s">
        <v>25</v>
      </c>
      <c r="D80" s="137" t="s">
        <v>55</v>
      </c>
      <c r="E80" s="137" t="s">
        <v>48</v>
      </c>
      <c r="F80" s="139" t="s">
        <v>21</v>
      </c>
      <c r="G80" s="184">
        <v>18600640332</v>
      </c>
      <c r="H80" s="140" t="e">
        <f>#REF!</f>
        <v>#REF!</v>
      </c>
      <c r="I80" s="142" t="e">
        <f>EDATE(H80,36)-1</f>
        <v>#REF!</v>
      </c>
      <c r="J80" s="148" t="e">
        <f ca="1" t="shared" si="6"/>
        <v>#REF!</v>
      </c>
      <c r="K80" s="139"/>
      <c r="L80" s="139"/>
      <c r="M80" s="215" t="s">
        <v>23</v>
      </c>
      <c r="N80" s="261"/>
      <c r="O80" s="261"/>
    </row>
    <row r="81" ht="21.75" customHeight="1" spans="1:16">
      <c r="A81" s="122">
        <v>79</v>
      </c>
      <c r="B81" s="141" t="s">
        <v>230</v>
      </c>
      <c r="C81" s="137" t="s">
        <v>36</v>
      </c>
      <c r="D81" s="141" t="s">
        <v>86</v>
      </c>
      <c r="E81" s="137" t="s">
        <v>87</v>
      </c>
      <c r="F81" s="139" t="s">
        <v>137</v>
      </c>
      <c r="G81" s="276">
        <v>18861811526</v>
      </c>
      <c r="H81" s="140">
        <v>42310</v>
      </c>
      <c r="I81" s="142">
        <v>43405</v>
      </c>
      <c r="J81" s="148">
        <f ca="1" t="shared" si="6"/>
        <v>-2647</v>
      </c>
      <c r="K81" s="139" t="s">
        <v>138</v>
      </c>
      <c r="L81" s="139" t="s">
        <v>231</v>
      </c>
      <c r="M81" s="137"/>
      <c r="N81" s="94"/>
      <c r="O81" s="94"/>
    </row>
    <row r="82" s="94" customFormat="1" ht="21.75" customHeight="1" spans="1:16">
      <c r="A82" s="122">
        <v>80</v>
      </c>
      <c r="B82" s="141" t="s">
        <v>232</v>
      </c>
      <c r="C82" s="141" t="s">
        <v>36</v>
      </c>
      <c r="D82" s="137" t="s">
        <v>106</v>
      </c>
      <c r="E82" s="137" t="s">
        <v>107</v>
      </c>
      <c r="F82" s="139" t="s">
        <v>21</v>
      </c>
      <c r="G82" s="184">
        <v>13811133204</v>
      </c>
      <c r="H82" s="140" t="e">
        <f>#REF!</f>
        <v>#REF!</v>
      </c>
      <c r="I82" s="142" t="e">
        <f>EDATE(H82,36)-1</f>
        <v>#REF!</v>
      </c>
      <c r="J82" s="148" t="e">
        <f ca="1" t="shared" si="6"/>
        <v>#REF!</v>
      </c>
      <c r="K82" s="139"/>
      <c r="L82" s="139"/>
      <c r="M82" s="215" t="s">
        <v>23</v>
      </c>
      <c r="N82" s="261"/>
      <c r="O82" s="261"/>
    </row>
    <row r="83" ht="21.75" customHeight="1" spans="1:16">
      <c r="A83" s="122">
        <v>81</v>
      </c>
      <c r="B83" s="141" t="s">
        <v>233</v>
      </c>
      <c r="C83" s="141" t="s">
        <v>52</v>
      </c>
      <c r="D83" s="137" t="s">
        <v>194</v>
      </c>
      <c r="E83" s="137" t="s">
        <v>234</v>
      </c>
      <c r="F83" s="139" t="s">
        <v>21</v>
      </c>
      <c r="G83" s="184">
        <v>15321689123</v>
      </c>
      <c r="H83" s="140" t="e">
        <f>#REF!</f>
        <v>#REF!</v>
      </c>
      <c r="I83" s="142" t="e">
        <f>EDATE(H83,36)-1</f>
        <v>#REF!</v>
      </c>
      <c r="J83" s="148" t="e">
        <f ca="1" t="shared" si="6"/>
        <v>#REF!</v>
      </c>
      <c r="K83" s="139"/>
      <c r="L83" s="139" t="s">
        <v>235</v>
      </c>
      <c r="M83" s="215" t="s">
        <v>23</v>
      </c>
    </row>
    <row r="84" ht="21.75" customHeight="1" spans="1:16">
      <c r="A84" s="122">
        <v>82</v>
      </c>
      <c r="B84" s="127" t="s">
        <v>236</v>
      </c>
      <c r="C84" s="127" t="s">
        <v>18</v>
      </c>
      <c r="D84" s="123" t="s">
        <v>91</v>
      </c>
      <c r="E84" s="137" t="s">
        <v>27</v>
      </c>
      <c r="F84" s="125" t="s">
        <v>21</v>
      </c>
      <c r="G84" s="177">
        <v>18800123318</v>
      </c>
      <c r="H84" s="126"/>
      <c r="I84" s="128"/>
      <c r="J84" s="135"/>
      <c r="K84" s="125"/>
      <c r="L84" s="125"/>
      <c r="M84" s="215" t="s">
        <v>23</v>
      </c>
    </row>
    <row r="85" ht="21.75" customHeight="1" spans="1:16">
      <c r="A85" s="122">
        <v>83</v>
      </c>
      <c r="B85" s="127" t="s">
        <v>237</v>
      </c>
      <c r="C85" s="127" t="s">
        <v>18</v>
      </c>
      <c r="D85" s="123" t="s">
        <v>91</v>
      </c>
      <c r="E85" s="137" t="s">
        <v>27</v>
      </c>
      <c r="F85" s="125" t="s">
        <v>21</v>
      </c>
      <c r="G85" s="176">
        <v>18810760322</v>
      </c>
      <c r="H85" s="126"/>
      <c r="I85" s="128"/>
      <c r="J85" s="135"/>
      <c r="K85" s="125"/>
      <c r="L85" s="125"/>
      <c r="M85" s="215" t="s">
        <v>23</v>
      </c>
    </row>
    <row r="86" ht="21.75" customHeight="1" spans="1:16">
      <c r="A86" s="122">
        <v>84</v>
      </c>
      <c r="B86" s="141" t="s">
        <v>238</v>
      </c>
      <c r="C86" s="141" t="s">
        <v>18</v>
      </c>
      <c r="D86" s="137" t="s">
        <v>32</v>
      </c>
      <c r="E86" s="137" t="s">
        <v>239</v>
      </c>
      <c r="F86" s="139" t="s">
        <v>21</v>
      </c>
      <c r="G86" s="184">
        <v>18010075315</v>
      </c>
      <c r="H86" s="140">
        <v>42555</v>
      </c>
      <c r="I86" s="142">
        <f t="shared" ref="I86:I92" si="7">EDATE(H86,36)-1</f>
        <v>43649</v>
      </c>
      <c r="J86" s="148">
        <f ca="1">ROUND(I86-NOW(),0)</f>
        <v>-2403</v>
      </c>
      <c r="K86" s="137"/>
      <c r="L86" s="139" t="s">
        <v>199</v>
      </c>
      <c r="M86" s="215" t="s">
        <v>23</v>
      </c>
    </row>
    <row r="87" ht="21.75" customHeight="1" spans="1:16">
      <c r="A87" s="122">
        <v>85</v>
      </c>
      <c r="B87" s="141" t="s">
        <v>240</v>
      </c>
      <c r="C87" s="141" t="s">
        <v>25</v>
      </c>
      <c r="D87" s="137" t="s">
        <v>26</v>
      </c>
      <c r="E87" s="137" t="s">
        <v>241</v>
      </c>
      <c r="F87" s="139" t="s">
        <v>21</v>
      </c>
      <c r="G87" s="184">
        <v>18621736951</v>
      </c>
      <c r="H87" s="140" t="e">
        <f>#REF!</f>
        <v>#REF!</v>
      </c>
      <c r="I87" s="142" t="e">
        <f t="shared" si="7"/>
        <v>#REF!</v>
      </c>
      <c r="J87" s="148" t="e">
        <f ca="1">ROUND(I87-NOW(),0)</f>
        <v>#REF!</v>
      </c>
      <c r="K87" s="139"/>
      <c r="L87" s="139"/>
      <c r="M87" s="215" t="s">
        <v>23</v>
      </c>
    </row>
    <row r="88" s="94" customFormat="1" ht="21.75" customHeight="1" spans="1:16">
      <c r="A88" s="122">
        <v>86</v>
      </c>
      <c r="B88" s="141" t="s">
        <v>242</v>
      </c>
      <c r="C88" s="137" t="s">
        <v>243</v>
      </c>
      <c r="D88" s="137" t="s">
        <v>244</v>
      </c>
      <c r="E88" s="137" t="s">
        <v>245</v>
      </c>
      <c r="F88" s="139" t="s">
        <v>21</v>
      </c>
      <c r="G88" s="184">
        <v>13911697916</v>
      </c>
      <c r="H88" s="140" t="e">
        <f>#REF!</f>
        <v>#REF!</v>
      </c>
      <c r="I88" s="142" t="e">
        <f t="shared" si="7"/>
        <v>#REF!</v>
      </c>
      <c r="J88" s="148" t="e">
        <f ca="1">ROUND(I88-NOW(),0)</f>
        <v>#REF!</v>
      </c>
      <c r="K88" s="137" t="s">
        <v>123</v>
      </c>
      <c r="L88" s="139" t="s">
        <v>246</v>
      </c>
      <c r="M88" s="215" t="s">
        <v>23</v>
      </c>
      <c r="N88" s="261"/>
      <c r="O88" s="261"/>
    </row>
    <row r="89" ht="21.75" customHeight="1" spans="1:16">
      <c r="A89" s="122">
        <v>87</v>
      </c>
      <c r="B89" s="141" t="s">
        <v>247</v>
      </c>
      <c r="C89" s="141" t="s">
        <v>36</v>
      </c>
      <c r="D89" s="137" t="s">
        <v>145</v>
      </c>
      <c r="E89" s="137" t="s">
        <v>248</v>
      </c>
      <c r="F89" s="139" t="s">
        <v>21</v>
      </c>
      <c r="G89" s="185">
        <v>13910290885</v>
      </c>
      <c r="H89" s="140" t="e">
        <f>#REF!</f>
        <v>#REF!</v>
      </c>
      <c r="I89" s="142" t="e">
        <f t="shared" si="7"/>
        <v>#REF!</v>
      </c>
      <c r="J89" s="148"/>
      <c r="K89" s="137" t="s">
        <v>123</v>
      </c>
      <c r="L89" s="139"/>
      <c r="M89" s="215" t="s">
        <v>23</v>
      </c>
    </row>
    <row r="90" ht="21.75" customHeight="1" spans="1:16">
      <c r="A90" s="122">
        <v>88</v>
      </c>
      <c r="B90" s="141" t="s">
        <v>249</v>
      </c>
      <c r="C90" s="141" t="s">
        <v>25</v>
      </c>
      <c r="D90" s="137" t="s">
        <v>55</v>
      </c>
      <c r="E90" s="137" t="s">
        <v>65</v>
      </c>
      <c r="F90" s="139" t="s">
        <v>21</v>
      </c>
      <c r="G90" s="184">
        <v>15652936120</v>
      </c>
      <c r="H90" s="140" t="e">
        <f>#REF!</f>
        <v>#REF!</v>
      </c>
      <c r="I90" s="142" t="e">
        <f t="shared" si="7"/>
        <v>#REF!</v>
      </c>
      <c r="J90" s="148" t="e">
        <f ca="1">ROUND(I90-NOW(),0)</f>
        <v>#REF!</v>
      </c>
      <c r="K90" s="139"/>
      <c r="L90" s="139"/>
      <c r="M90" s="215" t="s">
        <v>23</v>
      </c>
    </row>
    <row r="91" ht="21.75" customHeight="1" spans="1:16">
      <c r="A91" s="122">
        <v>89</v>
      </c>
      <c r="B91" s="141" t="s">
        <v>250</v>
      </c>
      <c r="C91" s="141" t="s">
        <v>36</v>
      </c>
      <c r="D91" s="137" t="s">
        <v>251</v>
      </c>
      <c r="E91" s="137" t="s">
        <v>252</v>
      </c>
      <c r="F91" s="139" t="s">
        <v>21</v>
      </c>
      <c r="G91" s="184">
        <v>18911069771</v>
      </c>
      <c r="H91" s="140" t="e">
        <f>#REF!</f>
        <v>#REF!</v>
      </c>
      <c r="I91" s="142" t="e">
        <f t="shared" si="7"/>
        <v>#REF!</v>
      </c>
      <c r="J91" s="148" t="e">
        <f ca="1">ROUND(I91-NOW(),0)</f>
        <v>#REF!</v>
      </c>
      <c r="K91" s="137" t="s">
        <v>123</v>
      </c>
      <c r="L91" s="139"/>
      <c r="M91" s="215" t="s">
        <v>23</v>
      </c>
    </row>
    <row r="92" ht="21.75" customHeight="1" spans="1:16">
      <c r="A92" s="122">
        <v>90</v>
      </c>
      <c r="B92" s="141" t="s">
        <v>253</v>
      </c>
      <c r="C92" s="141" t="s">
        <v>25</v>
      </c>
      <c r="D92" s="137" t="s">
        <v>47</v>
      </c>
      <c r="E92" s="137" t="s">
        <v>65</v>
      </c>
      <c r="F92" s="139" t="s">
        <v>21</v>
      </c>
      <c r="G92" s="184">
        <v>15840627110</v>
      </c>
      <c r="H92" s="140">
        <v>42552</v>
      </c>
      <c r="I92" s="142">
        <f t="shared" si="7"/>
        <v>43646</v>
      </c>
      <c r="J92" s="148">
        <f ca="1">ROUND(I92-NOW(),0)</f>
        <v>-2406</v>
      </c>
      <c r="K92" s="137"/>
      <c r="L92" s="139"/>
      <c r="M92" s="215" t="s">
        <v>23</v>
      </c>
    </row>
    <row r="93" ht="21.75" customHeight="1" spans="1:16">
      <c r="A93" s="122">
        <v>91</v>
      </c>
      <c r="B93" s="270" t="s">
        <v>254</v>
      </c>
      <c r="C93" s="272" t="s">
        <v>18</v>
      </c>
      <c r="D93" s="272" t="s">
        <v>44</v>
      </c>
      <c r="E93" s="137" t="s">
        <v>27</v>
      </c>
      <c r="F93" s="272" t="s">
        <v>21</v>
      </c>
      <c r="G93" s="279">
        <v>13051312357</v>
      </c>
      <c r="H93" s="274"/>
      <c r="I93" s="274"/>
      <c r="J93" s="275"/>
      <c r="K93" s="272"/>
      <c r="L93" s="272" t="s">
        <v>255</v>
      </c>
      <c r="M93" s="215" t="s">
        <v>23</v>
      </c>
    </row>
    <row r="94" s="259" customFormat="1" ht="21.75" customHeight="1" spans="1:16">
      <c r="A94" s="192">
        <v>92</v>
      </c>
      <c r="B94" s="196" t="s">
        <v>256</v>
      </c>
      <c r="C94" s="196" t="s">
        <v>25</v>
      </c>
      <c r="D94" s="195" t="s">
        <v>215</v>
      </c>
      <c r="E94" s="195" t="s">
        <v>56</v>
      </c>
      <c r="F94" s="194" t="s">
        <v>21</v>
      </c>
      <c r="G94" s="280">
        <v>17775942232</v>
      </c>
      <c r="H94" s="193" t="e">
        <f>#REF!</f>
        <v>#REF!</v>
      </c>
      <c r="I94" s="198" t="e">
        <f>EDATE(H94,36)-1</f>
        <v>#REF!</v>
      </c>
      <c r="J94" s="206" t="e">
        <f ca="1">ROUND(I94-NOW(),0)</f>
        <v>#REF!</v>
      </c>
      <c r="K94" s="195" t="s">
        <v>123</v>
      </c>
      <c r="L94" s="194"/>
      <c r="M94" s="195"/>
      <c r="P94" s="259" t="s">
        <v>257</v>
      </c>
    </row>
    <row r="95" ht="21.75" customHeight="1" spans="1:16">
      <c r="A95" s="122">
        <v>93</v>
      </c>
      <c r="B95" s="141" t="s">
        <v>258</v>
      </c>
      <c r="C95" s="141" t="s">
        <v>36</v>
      </c>
      <c r="D95" s="137" t="s">
        <v>145</v>
      </c>
      <c r="E95" s="137" t="s">
        <v>20</v>
      </c>
      <c r="F95" s="139" t="s">
        <v>21</v>
      </c>
      <c r="G95" s="184">
        <v>18610812466</v>
      </c>
      <c r="H95" s="140" t="e">
        <f>#REF!</f>
        <v>#REF!</v>
      </c>
      <c r="I95" s="142" t="e">
        <f>EDATE(H95,36)-1</f>
        <v>#REF!</v>
      </c>
      <c r="J95" s="148" t="e">
        <f ca="1">ROUND(I95-NOW(),0)</f>
        <v>#REF!</v>
      </c>
      <c r="K95" s="137" t="s">
        <v>123</v>
      </c>
      <c r="L95" s="139"/>
      <c r="M95" s="215" t="s">
        <v>23</v>
      </c>
    </row>
    <row r="96" ht="21.75" customHeight="1" spans="1:16">
      <c r="A96" s="122">
        <v>94</v>
      </c>
      <c r="B96" s="141" t="s">
        <v>259</v>
      </c>
      <c r="C96" s="141" t="s">
        <v>18</v>
      </c>
      <c r="D96" s="137" t="s">
        <v>260</v>
      </c>
      <c r="E96" s="137" t="s">
        <v>65</v>
      </c>
      <c r="F96" s="139" t="s">
        <v>21</v>
      </c>
      <c r="G96" s="184">
        <v>13693330203</v>
      </c>
      <c r="H96" s="140" t="e">
        <f>#REF!</f>
        <v>#REF!</v>
      </c>
      <c r="I96" s="142" t="e">
        <f>EDATE(H96,36)-1</f>
        <v>#REF!</v>
      </c>
      <c r="J96" s="148" t="e">
        <f ca="1">ROUND(I96-NOW(),0)</f>
        <v>#REF!</v>
      </c>
      <c r="K96" s="139"/>
      <c r="L96" s="139"/>
      <c r="M96" s="215" t="s">
        <v>23</v>
      </c>
    </row>
    <row r="97" ht="21.75" customHeight="1" spans="1:16">
      <c r="A97" s="122">
        <v>95</v>
      </c>
      <c r="B97" s="141" t="s">
        <v>261</v>
      </c>
      <c r="C97" s="141" t="s">
        <v>25</v>
      </c>
      <c r="D97" s="137" t="s">
        <v>47</v>
      </c>
      <c r="E97" s="137" t="s">
        <v>33</v>
      </c>
      <c r="F97" s="139" t="s">
        <v>21</v>
      </c>
      <c r="G97" s="184">
        <v>13811701265</v>
      </c>
      <c r="H97" s="140" t="e">
        <f>#REF!</f>
        <v>#REF!</v>
      </c>
      <c r="I97" s="142" t="e">
        <f>EDATE(H97,36)-1</f>
        <v>#REF!</v>
      </c>
      <c r="J97" s="148" t="e">
        <f ca="1">ROUND(I97-NOW(),0)</f>
        <v>#REF!</v>
      </c>
      <c r="K97" s="139"/>
      <c r="L97" s="139"/>
      <c r="M97" s="215" t="s">
        <v>23</v>
      </c>
      <c r="P97" s="261" t="s">
        <v>262</v>
      </c>
    </row>
    <row r="98" ht="21.75" customHeight="1" spans="1:16">
      <c r="A98" s="122">
        <v>96</v>
      </c>
      <c r="B98" s="141" t="s">
        <v>263</v>
      </c>
      <c r="C98" s="141" t="s">
        <v>132</v>
      </c>
      <c r="D98" s="137" t="s">
        <v>133</v>
      </c>
      <c r="E98" s="137" t="s">
        <v>20</v>
      </c>
      <c r="F98" s="139" t="s">
        <v>21</v>
      </c>
      <c r="G98" s="184">
        <v>13911027591</v>
      </c>
      <c r="H98" s="140" t="e">
        <f>#REF!</f>
        <v>#REF!</v>
      </c>
      <c r="I98" s="142" t="e">
        <f>EDATE(H98,36)-1</f>
        <v>#REF!</v>
      </c>
      <c r="J98" s="148" t="e">
        <f ca="1">ROUND(I98-NOW(),0)</f>
        <v>#REF!</v>
      </c>
      <c r="K98" s="139"/>
      <c r="L98" s="139"/>
      <c r="M98" s="215" t="s">
        <v>23</v>
      </c>
    </row>
    <row r="99" ht="21.75" customHeight="1" spans="1:16">
      <c r="A99" s="122">
        <v>97</v>
      </c>
      <c r="B99" s="270" t="s">
        <v>264</v>
      </c>
      <c r="C99" s="272" t="s">
        <v>18</v>
      </c>
      <c r="D99" s="272" t="s">
        <v>91</v>
      </c>
      <c r="E99" s="137" t="s">
        <v>27</v>
      </c>
      <c r="F99" s="272" t="s">
        <v>21</v>
      </c>
      <c r="G99" s="279">
        <v>18925331046</v>
      </c>
      <c r="H99" s="274"/>
      <c r="I99" s="274"/>
      <c r="J99" s="275"/>
      <c r="K99" s="272"/>
      <c r="L99" s="272" t="s">
        <v>265</v>
      </c>
      <c r="M99" s="215" t="s">
        <v>23</v>
      </c>
    </row>
    <row r="100" ht="21.75" customHeight="1" spans="1:16">
      <c r="A100" s="122">
        <v>98</v>
      </c>
      <c r="B100" s="141" t="s">
        <v>266</v>
      </c>
      <c r="C100" s="141" t="s">
        <v>36</v>
      </c>
      <c r="D100" s="137" t="s">
        <v>145</v>
      </c>
      <c r="E100" s="137" t="s">
        <v>56</v>
      </c>
      <c r="F100" s="139" t="s">
        <v>21</v>
      </c>
      <c r="G100" s="184">
        <v>15301379389</v>
      </c>
      <c r="H100" s="140" t="e">
        <f>#REF!</f>
        <v>#REF!</v>
      </c>
      <c r="I100" s="142" t="e">
        <f>EDATE(H100,36)-1</f>
        <v>#REF!</v>
      </c>
      <c r="J100" s="148" t="e">
        <f ca="1">ROUND(I100-NOW(),0)</f>
        <v>#REF!</v>
      </c>
      <c r="K100" s="137" t="s">
        <v>123</v>
      </c>
      <c r="L100" s="139" t="s">
        <v>267</v>
      </c>
      <c r="M100" s="215" t="s">
        <v>23</v>
      </c>
      <c r="P100" s="261" t="s">
        <v>262</v>
      </c>
    </row>
    <row r="101" ht="21.75" customHeight="1" spans="1:16">
      <c r="A101" s="122">
        <v>99</v>
      </c>
      <c r="B101" s="141" t="s">
        <v>268</v>
      </c>
      <c r="C101" s="141" t="s">
        <v>25</v>
      </c>
      <c r="D101" s="137" t="s">
        <v>215</v>
      </c>
      <c r="E101" s="137" t="s">
        <v>97</v>
      </c>
      <c r="F101" s="139" t="s">
        <v>21</v>
      </c>
      <c r="G101" s="184">
        <v>18810492108</v>
      </c>
      <c r="H101" s="140">
        <v>42370</v>
      </c>
      <c r="I101" s="142">
        <f>EDATE(H101,36)-1</f>
        <v>43465</v>
      </c>
      <c r="J101" s="148">
        <f ca="1">ROUND(I101-NOW(),0)</f>
        <v>-2587</v>
      </c>
      <c r="K101" s="137" t="s">
        <v>123</v>
      </c>
      <c r="L101" s="139"/>
      <c r="M101" s="215" t="s">
        <v>23</v>
      </c>
      <c r="P101" s="261" t="s">
        <v>269</v>
      </c>
    </row>
    <row r="102" ht="21.75" customHeight="1" spans="1:16">
      <c r="A102" s="122">
        <v>100</v>
      </c>
      <c r="B102" s="270" t="s">
        <v>270</v>
      </c>
      <c r="C102" s="272" t="s">
        <v>18</v>
      </c>
      <c r="D102" s="272" t="s">
        <v>44</v>
      </c>
      <c r="E102" s="137" t="s">
        <v>27</v>
      </c>
      <c r="F102" s="272" t="s">
        <v>21</v>
      </c>
      <c r="G102" s="279">
        <v>18811790304</v>
      </c>
      <c r="H102" s="274"/>
      <c r="I102" s="274"/>
      <c r="J102" s="275"/>
      <c r="K102" s="272"/>
      <c r="L102" s="272" t="s">
        <v>271</v>
      </c>
      <c r="M102" s="215" t="s">
        <v>23</v>
      </c>
    </row>
    <row r="103" ht="21.75" customHeight="1" spans="1:16">
      <c r="A103" s="122">
        <v>101</v>
      </c>
      <c r="B103" s="141" t="s">
        <v>272</v>
      </c>
      <c r="C103" s="141" t="s">
        <v>132</v>
      </c>
      <c r="D103" s="137" t="s">
        <v>94</v>
      </c>
      <c r="E103" s="137" t="s">
        <v>273</v>
      </c>
      <c r="F103" s="139" t="s">
        <v>21</v>
      </c>
      <c r="G103" s="184">
        <v>18910873490</v>
      </c>
      <c r="H103" s="140">
        <v>42373</v>
      </c>
      <c r="I103" s="142">
        <f>EDATE(H103,36)-1</f>
        <v>43468</v>
      </c>
      <c r="J103" s="148">
        <f ca="1">ROUND(I103-NOW(),0)</f>
        <v>-2584</v>
      </c>
      <c r="K103" s="139"/>
      <c r="L103" s="151" t="s">
        <v>274</v>
      </c>
      <c r="M103" s="215" t="s">
        <v>23</v>
      </c>
    </row>
    <row r="104" ht="21.75" customHeight="1" spans="1:16">
      <c r="A104" s="122">
        <v>102</v>
      </c>
      <c r="B104" s="141" t="s">
        <v>275</v>
      </c>
      <c r="C104" s="141" t="s">
        <v>36</v>
      </c>
      <c r="D104" s="137" t="s">
        <v>145</v>
      </c>
      <c r="E104" s="137" t="s">
        <v>276</v>
      </c>
      <c r="F104" s="139" t="s">
        <v>21</v>
      </c>
      <c r="G104" s="184">
        <v>13401009863</v>
      </c>
      <c r="H104" s="140">
        <v>42352</v>
      </c>
      <c r="I104" s="142">
        <f>EDATE(H104,36)-1</f>
        <v>43447</v>
      </c>
      <c r="J104" s="148">
        <f ca="1">ROUND(I104-NOW(),0)</f>
        <v>-2605</v>
      </c>
      <c r="K104" s="137" t="s">
        <v>123</v>
      </c>
      <c r="L104" s="139"/>
      <c r="M104" s="215" t="s">
        <v>23</v>
      </c>
    </row>
    <row r="105" s="94" customFormat="1" ht="21.75" customHeight="1" spans="1:16">
      <c r="A105" s="122">
        <v>103</v>
      </c>
      <c r="B105" s="141" t="s">
        <v>277</v>
      </c>
      <c r="C105" s="137" t="s">
        <v>36</v>
      </c>
      <c r="D105" s="141" t="s">
        <v>86</v>
      </c>
      <c r="E105" s="137" t="s">
        <v>153</v>
      </c>
      <c r="F105" s="139" t="s">
        <v>137</v>
      </c>
      <c r="G105" s="276">
        <v>13677164635</v>
      </c>
      <c r="H105" s="140" t="e">
        <f>#REF!</f>
        <v>#REF!</v>
      </c>
      <c r="I105" s="142" t="e">
        <f>EDATE(H105,36)-1</f>
        <v>#REF!</v>
      </c>
      <c r="J105" s="148" t="e">
        <f ca="1">ROUND(I105-NOW(),0)</f>
        <v>#REF!</v>
      </c>
      <c r="K105" s="139" t="s">
        <v>278</v>
      </c>
      <c r="L105" s="139"/>
      <c r="M105" s="137"/>
    </row>
    <row r="106" ht="21.75" customHeight="1" spans="1:16">
      <c r="A106" s="122">
        <v>104</v>
      </c>
      <c r="B106" s="127" t="s">
        <v>279</v>
      </c>
      <c r="C106" s="127" t="s">
        <v>18</v>
      </c>
      <c r="D106" s="123" t="s">
        <v>58</v>
      </c>
      <c r="E106" s="137" t="s">
        <v>27</v>
      </c>
      <c r="F106" s="125" t="s">
        <v>21</v>
      </c>
      <c r="G106" s="176">
        <v>18605711737</v>
      </c>
      <c r="H106" s="126"/>
      <c r="I106" s="128"/>
      <c r="J106" s="135"/>
      <c r="K106" s="125"/>
      <c r="L106" s="125"/>
      <c r="M106" s="215"/>
    </row>
    <row r="107" ht="21.75" customHeight="1" spans="1:16">
      <c r="A107" s="122">
        <v>105</v>
      </c>
      <c r="B107" s="141" t="s">
        <v>280</v>
      </c>
      <c r="C107" s="141" t="s">
        <v>61</v>
      </c>
      <c r="D107" s="137" t="s">
        <v>101</v>
      </c>
      <c r="E107" s="137" t="s">
        <v>281</v>
      </c>
      <c r="F107" s="139" t="s">
        <v>21</v>
      </c>
      <c r="G107" s="184">
        <v>18610901042</v>
      </c>
      <c r="H107" s="140">
        <v>42355</v>
      </c>
      <c r="I107" s="142">
        <f t="shared" ref="I107:I123" si="8">EDATE(H107,36)-1</f>
        <v>43450</v>
      </c>
      <c r="J107" s="148">
        <f ca="1" t="shared" ref="J107:J123" si="9">ROUND(I107-NOW(),0)</f>
        <v>-2602</v>
      </c>
      <c r="K107" s="139"/>
      <c r="L107" s="139" t="s">
        <v>282</v>
      </c>
      <c r="M107" s="215" t="s">
        <v>23</v>
      </c>
    </row>
    <row r="108" ht="21.75" customHeight="1" spans="1:16">
      <c r="A108" s="122">
        <v>106</v>
      </c>
      <c r="B108" s="141" t="s">
        <v>283</v>
      </c>
      <c r="C108" s="141" t="s">
        <v>36</v>
      </c>
      <c r="D108" s="137" t="s">
        <v>145</v>
      </c>
      <c r="E108" s="137" t="s">
        <v>97</v>
      </c>
      <c r="F108" s="139" t="s">
        <v>21</v>
      </c>
      <c r="G108" s="184">
        <v>18600372703</v>
      </c>
      <c r="H108" s="140">
        <v>42373</v>
      </c>
      <c r="I108" s="142">
        <f t="shared" si="8"/>
        <v>43468</v>
      </c>
      <c r="J108" s="148">
        <f ca="1" t="shared" si="9"/>
        <v>-2584</v>
      </c>
      <c r="K108" s="137" t="s">
        <v>284</v>
      </c>
      <c r="L108" s="139" t="s">
        <v>285</v>
      </c>
      <c r="M108" s="215" t="s">
        <v>23</v>
      </c>
    </row>
    <row r="109" ht="21.75" customHeight="1" spans="1:16">
      <c r="A109" s="122">
        <v>107</v>
      </c>
      <c r="B109" s="141" t="s">
        <v>286</v>
      </c>
      <c r="C109" s="137" t="s">
        <v>78</v>
      </c>
      <c r="D109" s="137" t="s">
        <v>79</v>
      </c>
      <c r="E109" s="137" t="s">
        <v>287</v>
      </c>
      <c r="F109" s="139" t="s">
        <v>21</v>
      </c>
      <c r="G109" s="184">
        <v>13426244284</v>
      </c>
      <c r="H109" s="140" t="e">
        <f>#REF!</f>
        <v>#REF!</v>
      </c>
      <c r="I109" s="142" t="e">
        <f t="shared" si="8"/>
        <v>#REF!</v>
      </c>
      <c r="J109" s="148" t="e">
        <f ca="1" t="shared" si="9"/>
        <v>#REF!</v>
      </c>
      <c r="K109" s="137" t="s">
        <v>123</v>
      </c>
      <c r="L109" s="139"/>
      <c r="M109" s="215" t="s">
        <v>23</v>
      </c>
    </row>
    <row r="110" ht="21.75" customHeight="1" spans="1:16">
      <c r="A110" s="122">
        <v>108</v>
      </c>
      <c r="B110" s="141" t="s">
        <v>288</v>
      </c>
      <c r="C110" s="141" t="s">
        <v>25</v>
      </c>
      <c r="D110" s="137" t="s">
        <v>289</v>
      </c>
      <c r="E110" s="137" t="s">
        <v>290</v>
      </c>
      <c r="F110" s="139" t="s">
        <v>21</v>
      </c>
      <c r="G110" s="184">
        <v>13810892634</v>
      </c>
      <c r="H110" s="140" t="e">
        <f>#REF!</f>
        <v>#REF!</v>
      </c>
      <c r="I110" s="142" t="e">
        <f t="shared" si="8"/>
        <v>#REF!</v>
      </c>
      <c r="J110" s="148" t="e">
        <f ca="1" t="shared" si="9"/>
        <v>#REF!</v>
      </c>
      <c r="K110" s="139"/>
      <c r="L110" s="139"/>
      <c r="M110" s="215" t="s">
        <v>23</v>
      </c>
    </row>
    <row r="111" ht="21.75" customHeight="1" spans="1:16">
      <c r="A111" s="122">
        <v>109</v>
      </c>
      <c r="B111" s="141" t="s">
        <v>291</v>
      </c>
      <c r="C111" s="141" t="s">
        <v>25</v>
      </c>
      <c r="D111" s="137" t="s">
        <v>215</v>
      </c>
      <c r="E111" s="137" t="s">
        <v>276</v>
      </c>
      <c r="F111" s="139" t="s">
        <v>21</v>
      </c>
      <c r="G111" s="184">
        <v>18910359892</v>
      </c>
      <c r="H111" s="140" t="e">
        <f>#REF!</f>
        <v>#REF!</v>
      </c>
      <c r="I111" s="142" t="e">
        <f t="shared" si="8"/>
        <v>#REF!</v>
      </c>
      <c r="J111" s="148" t="e">
        <f ca="1" t="shared" si="9"/>
        <v>#REF!</v>
      </c>
      <c r="K111" s="137" t="s">
        <v>123</v>
      </c>
      <c r="L111" s="139"/>
      <c r="M111" s="215" t="s">
        <v>23</v>
      </c>
    </row>
    <row r="112" ht="21.75" customHeight="1" spans="1:16">
      <c r="A112" s="122">
        <v>110</v>
      </c>
      <c r="B112" s="141" t="s">
        <v>292</v>
      </c>
      <c r="C112" s="141" t="s">
        <v>36</v>
      </c>
      <c r="D112" s="137" t="s">
        <v>130</v>
      </c>
      <c r="E112" s="137" t="s">
        <v>293</v>
      </c>
      <c r="F112" s="139" t="s">
        <v>21</v>
      </c>
      <c r="G112" s="184">
        <v>13511051946</v>
      </c>
      <c r="H112" s="140" t="e">
        <f>#REF!</f>
        <v>#REF!</v>
      </c>
      <c r="I112" s="142" t="e">
        <f t="shared" si="8"/>
        <v>#REF!</v>
      </c>
      <c r="J112" s="148" t="e">
        <f ca="1" t="shared" si="9"/>
        <v>#REF!</v>
      </c>
      <c r="K112" s="139"/>
      <c r="L112" s="139" t="s">
        <v>294</v>
      </c>
      <c r="M112" s="215" t="s">
        <v>23</v>
      </c>
    </row>
    <row r="113" ht="21.75" customHeight="1" spans="1:15">
      <c r="A113" s="122">
        <v>111</v>
      </c>
      <c r="B113" s="141" t="s">
        <v>295</v>
      </c>
      <c r="C113" s="141" t="s">
        <v>36</v>
      </c>
      <c r="D113" s="137" t="s">
        <v>145</v>
      </c>
      <c r="E113" s="137" t="s">
        <v>87</v>
      </c>
      <c r="F113" s="139" t="s">
        <v>21</v>
      </c>
      <c r="G113" s="184">
        <v>13810919632</v>
      </c>
      <c r="H113" s="140" t="e">
        <f>#REF!</f>
        <v>#REF!</v>
      </c>
      <c r="I113" s="142" t="e">
        <f t="shared" si="8"/>
        <v>#REF!</v>
      </c>
      <c r="J113" s="148" t="e">
        <f ca="1" t="shared" si="9"/>
        <v>#REF!</v>
      </c>
      <c r="K113" s="137" t="s">
        <v>123</v>
      </c>
      <c r="L113" s="139"/>
      <c r="M113" s="215" t="s">
        <v>23</v>
      </c>
    </row>
    <row r="114" ht="21.75" customHeight="1" spans="1:15">
      <c r="A114" s="122">
        <v>112</v>
      </c>
      <c r="B114" s="141" t="s">
        <v>296</v>
      </c>
      <c r="C114" s="141" t="s">
        <v>18</v>
      </c>
      <c r="D114" s="137" t="s">
        <v>29</v>
      </c>
      <c r="E114" s="137" t="s">
        <v>297</v>
      </c>
      <c r="F114" s="139" t="s">
        <v>21</v>
      </c>
      <c r="G114" s="184">
        <v>15652969521</v>
      </c>
      <c r="H114" s="140">
        <v>42556</v>
      </c>
      <c r="I114" s="142">
        <f t="shared" si="8"/>
        <v>43650</v>
      </c>
      <c r="J114" s="148">
        <f ca="1" t="shared" si="9"/>
        <v>-2402</v>
      </c>
      <c r="K114" s="137"/>
      <c r="L114" s="139"/>
      <c r="M114" s="215" t="s">
        <v>23</v>
      </c>
    </row>
    <row r="115" ht="21.75" customHeight="1" spans="1:15">
      <c r="A115" s="122">
        <v>113</v>
      </c>
      <c r="B115" s="141" t="s">
        <v>298</v>
      </c>
      <c r="C115" s="141" t="s">
        <v>78</v>
      </c>
      <c r="D115" s="137" t="s">
        <v>196</v>
      </c>
      <c r="E115" s="137" t="s">
        <v>178</v>
      </c>
      <c r="F115" s="139" t="s">
        <v>21</v>
      </c>
      <c r="G115" s="184">
        <v>15022677789</v>
      </c>
      <c r="H115" s="140" t="e">
        <f>#REF!</f>
        <v>#REF!</v>
      </c>
      <c r="I115" s="142" t="e">
        <f t="shared" si="8"/>
        <v>#REF!</v>
      </c>
      <c r="J115" s="148" t="e">
        <f ca="1" t="shared" si="9"/>
        <v>#REF!</v>
      </c>
      <c r="K115" s="137" t="s">
        <v>123</v>
      </c>
      <c r="L115" s="139"/>
      <c r="M115" s="215" t="s">
        <v>23</v>
      </c>
    </row>
    <row r="116" ht="21.75" customHeight="1" spans="1:15">
      <c r="A116" s="122">
        <v>114</v>
      </c>
      <c r="B116" s="141" t="s">
        <v>299</v>
      </c>
      <c r="C116" s="141" t="s">
        <v>132</v>
      </c>
      <c r="D116" s="137" t="s">
        <v>133</v>
      </c>
      <c r="E116" s="137" t="s">
        <v>56</v>
      </c>
      <c r="F116" s="139" t="s">
        <v>21</v>
      </c>
      <c r="G116" s="184">
        <v>13520396896</v>
      </c>
      <c r="H116" s="140" t="e">
        <f>#REF!</f>
        <v>#REF!</v>
      </c>
      <c r="I116" s="142" t="e">
        <f t="shared" si="8"/>
        <v>#REF!</v>
      </c>
      <c r="J116" s="148" t="e">
        <f ca="1" t="shared" si="9"/>
        <v>#REF!</v>
      </c>
      <c r="K116" s="139"/>
      <c r="L116" s="139"/>
      <c r="M116" s="215" t="s">
        <v>23</v>
      </c>
    </row>
    <row r="117" ht="21.75" customHeight="1" spans="1:15">
      <c r="A117" s="122">
        <v>115</v>
      </c>
      <c r="B117" s="141" t="s">
        <v>300</v>
      </c>
      <c r="C117" s="141" t="s">
        <v>25</v>
      </c>
      <c r="D117" s="137" t="s">
        <v>55</v>
      </c>
      <c r="E117" s="137" t="s">
        <v>56</v>
      </c>
      <c r="F117" s="139" t="s">
        <v>21</v>
      </c>
      <c r="G117" s="184">
        <v>18610064215</v>
      </c>
      <c r="H117" s="140" t="e">
        <f>#REF!</f>
        <v>#REF!</v>
      </c>
      <c r="I117" s="142" t="e">
        <f t="shared" si="8"/>
        <v>#REF!</v>
      </c>
      <c r="J117" s="148" t="e">
        <f ca="1" t="shared" si="9"/>
        <v>#REF!</v>
      </c>
      <c r="K117" s="139"/>
      <c r="L117" s="139"/>
      <c r="M117" s="215" t="s">
        <v>23</v>
      </c>
    </row>
    <row r="118" ht="21.75" customHeight="1" spans="1:15">
      <c r="A118" s="122">
        <v>116</v>
      </c>
      <c r="B118" s="141" t="s">
        <v>301</v>
      </c>
      <c r="C118" s="141" t="s">
        <v>78</v>
      </c>
      <c r="D118" s="137" t="s">
        <v>196</v>
      </c>
      <c r="E118" s="137" t="s">
        <v>219</v>
      </c>
      <c r="F118" s="139" t="s">
        <v>21</v>
      </c>
      <c r="G118" s="184">
        <v>13581576959</v>
      </c>
      <c r="H118" s="140" t="e">
        <f>#REF!</f>
        <v>#REF!</v>
      </c>
      <c r="I118" s="142" t="e">
        <f t="shared" si="8"/>
        <v>#REF!</v>
      </c>
      <c r="J118" s="148" t="e">
        <f ca="1" t="shared" si="9"/>
        <v>#REF!</v>
      </c>
      <c r="K118" s="137" t="s">
        <v>123</v>
      </c>
      <c r="L118" s="139"/>
      <c r="M118" s="215" t="s">
        <v>23</v>
      </c>
    </row>
    <row r="119" ht="21.75" customHeight="1" spans="1:15">
      <c r="A119" s="122">
        <v>117</v>
      </c>
      <c r="B119" s="141" t="s">
        <v>302</v>
      </c>
      <c r="C119" s="141" t="s">
        <v>61</v>
      </c>
      <c r="D119" s="137" t="s">
        <v>62</v>
      </c>
      <c r="E119" s="137" t="s">
        <v>63</v>
      </c>
      <c r="F119" s="139" t="s">
        <v>21</v>
      </c>
      <c r="G119" s="184">
        <v>13488764560</v>
      </c>
      <c r="H119" s="140" t="e">
        <f>#REF!</f>
        <v>#REF!</v>
      </c>
      <c r="I119" s="142" t="e">
        <f t="shared" si="8"/>
        <v>#REF!</v>
      </c>
      <c r="J119" s="148" t="e">
        <f ca="1" t="shared" si="9"/>
        <v>#REF!</v>
      </c>
      <c r="K119" s="139"/>
      <c r="L119" s="139"/>
      <c r="M119" s="215" t="s">
        <v>23</v>
      </c>
    </row>
    <row r="120" s="94" customFormat="1" ht="21.75" customHeight="1" spans="1:15">
      <c r="A120" s="122">
        <v>118</v>
      </c>
      <c r="B120" s="141" t="s">
        <v>303</v>
      </c>
      <c r="C120" s="141" t="s">
        <v>36</v>
      </c>
      <c r="D120" s="137" t="s">
        <v>86</v>
      </c>
      <c r="E120" s="137" t="s">
        <v>87</v>
      </c>
      <c r="F120" s="139" t="s">
        <v>21</v>
      </c>
      <c r="G120" s="184">
        <v>13141455189</v>
      </c>
      <c r="H120" s="140" t="e">
        <f>#REF!</f>
        <v>#REF!</v>
      </c>
      <c r="I120" s="142" t="e">
        <f t="shared" si="8"/>
        <v>#REF!</v>
      </c>
      <c r="J120" s="148" t="e">
        <f ca="1" t="shared" si="9"/>
        <v>#REF!</v>
      </c>
      <c r="K120" s="137" t="s">
        <v>123</v>
      </c>
      <c r="L120" s="151" t="s">
        <v>304</v>
      </c>
      <c r="M120" s="215"/>
      <c r="N120" s="261"/>
      <c r="O120" s="261"/>
    </row>
    <row r="121" ht="21.75" customHeight="1" spans="1:15">
      <c r="A121" s="122">
        <v>119</v>
      </c>
      <c r="B121" s="141" t="s">
        <v>305</v>
      </c>
      <c r="C121" s="141" t="s">
        <v>36</v>
      </c>
      <c r="D121" s="137" t="s">
        <v>106</v>
      </c>
      <c r="E121" s="137" t="s">
        <v>65</v>
      </c>
      <c r="F121" s="139" t="s">
        <v>21</v>
      </c>
      <c r="G121" s="184">
        <v>18600554752</v>
      </c>
      <c r="H121" s="140" t="e">
        <f>#REF!</f>
        <v>#REF!</v>
      </c>
      <c r="I121" s="142" t="e">
        <f t="shared" si="8"/>
        <v>#REF!</v>
      </c>
      <c r="J121" s="148" t="e">
        <f ca="1" t="shared" si="9"/>
        <v>#REF!</v>
      </c>
      <c r="K121" s="139"/>
      <c r="L121" s="139"/>
      <c r="M121" s="215" t="s">
        <v>23</v>
      </c>
    </row>
    <row r="122" s="94" customFormat="1" ht="21.75" customHeight="1" spans="1:15">
      <c r="A122" s="122">
        <v>120</v>
      </c>
      <c r="B122" s="141" t="s">
        <v>306</v>
      </c>
      <c r="C122" s="141" t="s">
        <v>25</v>
      </c>
      <c r="D122" s="137" t="s">
        <v>26</v>
      </c>
      <c r="E122" s="137" t="s">
        <v>80</v>
      </c>
      <c r="F122" s="139" t="s">
        <v>21</v>
      </c>
      <c r="G122" s="184">
        <v>15901553322</v>
      </c>
      <c r="H122" s="140" t="e">
        <f>#REF!</f>
        <v>#REF!</v>
      </c>
      <c r="I122" s="142" t="e">
        <f t="shared" si="8"/>
        <v>#REF!</v>
      </c>
      <c r="J122" s="148" t="e">
        <f ca="1" t="shared" si="9"/>
        <v>#REF!</v>
      </c>
      <c r="K122" s="139"/>
      <c r="L122" s="139"/>
      <c r="M122" s="215" t="s">
        <v>23</v>
      </c>
      <c r="N122" s="261"/>
      <c r="O122" s="261"/>
    </row>
    <row r="123" ht="21.75" customHeight="1" spans="1:15">
      <c r="A123" s="122">
        <v>121</v>
      </c>
      <c r="B123" s="141" t="s">
        <v>307</v>
      </c>
      <c r="C123" s="141" t="s">
        <v>36</v>
      </c>
      <c r="D123" s="137" t="s">
        <v>145</v>
      </c>
      <c r="E123" s="137" t="s">
        <v>308</v>
      </c>
      <c r="F123" s="139" t="s">
        <v>309</v>
      </c>
      <c r="G123" s="276">
        <v>15389073733</v>
      </c>
      <c r="H123" s="140" t="e">
        <f>#REF!</f>
        <v>#REF!</v>
      </c>
      <c r="I123" s="142" t="e">
        <f t="shared" si="8"/>
        <v>#REF!</v>
      </c>
      <c r="J123" s="148" t="e">
        <f ca="1" t="shared" si="9"/>
        <v>#REF!</v>
      </c>
      <c r="K123" s="139"/>
      <c r="L123" s="139"/>
      <c r="M123" s="137"/>
      <c r="N123" s="94"/>
      <c r="O123" s="94"/>
    </row>
    <row r="124" s="94" customFormat="1" ht="21.75" customHeight="1" spans="1:15">
      <c r="A124" s="122">
        <v>122</v>
      </c>
      <c r="B124" s="270" t="s">
        <v>310</v>
      </c>
      <c r="C124" s="270" t="s">
        <v>18</v>
      </c>
      <c r="D124" s="272" t="s">
        <v>29</v>
      </c>
      <c r="E124" s="137" t="s">
        <v>27</v>
      </c>
      <c r="F124" s="272" t="s">
        <v>21</v>
      </c>
      <c r="G124" s="279">
        <v>18811792685</v>
      </c>
      <c r="H124" s="274"/>
      <c r="I124" s="274"/>
      <c r="J124" s="275"/>
      <c r="K124" s="272"/>
      <c r="L124" s="272" t="s">
        <v>311</v>
      </c>
      <c r="M124" s="215"/>
      <c r="N124" s="261"/>
      <c r="O124" s="261"/>
    </row>
    <row r="125" ht="21.75" customHeight="1" spans="1:15">
      <c r="A125" s="122">
        <v>123</v>
      </c>
      <c r="B125" s="141" t="s">
        <v>312</v>
      </c>
      <c r="C125" s="141" t="s">
        <v>132</v>
      </c>
      <c r="D125" s="137" t="s">
        <v>133</v>
      </c>
      <c r="E125" s="137" t="s">
        <v>276</v>
      </c>
      <c r="F125" s="139" t="s">
        <v>21</v>
      </c>
      <c r="G125" s="184">
        <v>13911775022</v>
      </c>
      <c r="H125" s="140" t="e">
        <f>#REF!</f>
        <v>#REF!</v>
      </c>
      <c r="I125" s="142" t="e">
        <f>EDATE(H125,36)-1</f>
        <v>#REF!</v>
      </c>
      <c r="J125" s="148" t="e">
        <f ca="1">ROUND(I125-NOW(),0)</f>
        <v>#REF!</v>
      </c>
      <c r="K125" s="139"/>
      <c r="L125" s="139"/>
      <c r="M125" s="215" t="s">
        <v>23</v>
      </c>
    </row>
    <row r="126" ht="21.75" customHeight="1" spans="1:15">
      <c r="A126" s="122">
        <v>124</v>
      </c>
      <c r="B126" s="127" t="s">
        <v>313</v>
      </c>
      <c r="C126" s="127" t="s">
        <v>18</v>
      </c>
      <c r="D126" s="123" t="s">
        <v>29</v>
      </c>
      <c r="E126" s="137" t="s">
        <v>27</v>
      </c>
      <c r="F126" s="125" t="s">
        <v>21</v>
      </c>
      <c r="G126" s="176">
        <v>18503710013</v>
      </c>
      <c r="H126" s="126"/>
      <c r="I126" s="128"/>
      <c r="J126" s="135"/>
      <c r="K126" s="125"/>
      <c r="L126" s="125" t="s">
        <v>314</v>
      </c>
      <c r="M126" s="215"/>
    </row>
    <row r="127" ht="21.75" customHeight="1" spans="1:15">
      <c r="A127" s="122">
        <v>125</v>
      </c>
      <c r="B127" s="127" t="s">
        <v>315</v>
      </c>
      <c r="C127" s="127" t="s">
        <v>18</v>
      </c>
      <c r="D127" s="123" t="s">
        <v>91</v>
      </c>
      <c r="E127" s="137" t="s">
        <v>27</v>
      </c>
      <c r="F127" s="125" t="s">
        <v>21</v>
      </c>
      <c r="G127" s="176">
        <v>18643071267</v>
      </c>
      <c r="H127" s="126"/>
      <c r="I127" s="128"/>
      <c r="J127" s="135"/>
      <c r="K127" s="125"/>
      <c r="L127" s="125" t="s">
        <v>314</v>
      </c>
      <c r="M127" s="215"/>
    </row>
    <row r="128" ht="21.75" customHeight="1" spans="1:15">
      <c r="A128" s="122">
        <v>126</v>
      </c>
      <c r="B128" s="127" t="s">
        <v>316</v>
      </c>
      <c r="C128" s="127" t="s">
        <v>18</v>
      </c>
      <c r="D128" s="123" t="s">
        <v>118</v>
      </c>
      <c r="E128" s="137" t="s">
        <v>27</v>
      </c>
      <c r="F128" s="125" t="s">
        <v>21</v>
      </c>
      <c r="G128" s="176">
        <v>13981972455</v>
      </c>
      <c r="H128" s="126"/>
      <c r="I128" s="128"/>
      <c r="J128" s="135"/>
      <c r="K128" s="125"/>
      <c r="L128" s="125" t="s">
        <v>314</v>
      </c>
      <c r="M128" s="215"/>
    </row>
    <row r="129" ht="21.75" customHeight="1" spans="1:16">
      <c r="A129" s="122">
        <v>127</v>
      </c>
      <c r="B129" s="141" t="s">
        <v>317</v>
      </c>
      <c r="C129" s="141" t="s">
        <v>36</v>
      </c>
      <c r="D129" s="137" t="s">
        <v>86</v>
      </c>
      <c r="E129" s="137" t="s">
        <v>87</v>
      </c>
      <c r="F129" s="139" t="s">
        <v>309</v>
      </c>
      <c r="G129" s="223" t="s">
        <v>318</v>
      </c>
      <c r="H129" s="142">
        <v>42795</v>
      </c>
      <c r="I129" s="142">
        <v>43891</v>
      </c>
      <c r="J129" s="148">
        <f ca="1" t="shared" ref="J129:J137" si="10">ROUND(I129-NOW(),0)</f>
        <v>-2161</v>
      </c>
      <c r="K129" s="139"/>
      <c r="L129" s="139"/>
      <c r="M129" s="137" t="s">
        <v>23</v>
      </c>
      <c r="N129" s="94"/>
      <c r="O129" s="94"/>
    </row>
    <row r="130" ht="21.75" customHeight="1" spans="1:16">
      <c r="A130" s="122">
        <v>128</v>
      </c>
      <c r="B130" s="141" t="s">
        <v>319</v>
      </c>
      <c r="C130" s="141" t="s">
        <v>52</v>
      </c>
      <c r="D130" s="137" t="s">
        <v>194</v>
      </c>
      <c r="E130" s="137" t="s">
        <v>320</v>
      </c>
      <c r="F130" s="139" t="s">
        <v>21</v>
      </c>
      <c r="G130" s="184">
        <v>15652915024</v>
      </c>
      <c r="H130" s="140">
        <v>42552</v>
      </c>
      <c r="I130" s="142">
        <f t="shared" ref="I130:I137" si="11">EDATE(H130,36)-1</f>
        <v>43646</v>
      </c>
      <c r="J130" s="148">
        <f ca="1" t="shared" si="10"/>
        <v>-2406</v>
      </c>
      <c r="K130" s="139"/>
      <c r="L130" s="139"/>
      <c r="M130" s="215" t="s">
        <v>23</v>
      </c>
    </row>
    <row r="131" ht="21.75" customHeight="1" spans="1:16">
      <c r="A131" s="122">
        <v>129</v>
      </c>
      <c r="B131" s="141" t="s">
        <v>321</v>
      </c>
      <c r="C131" s="141" t="s">
        <v>36</v>
      </c>
      <c r="D131" s="137" t="s">
        <v>106</v>
      </c>
      <c r="E131" s="137" t="s">
        <v>208</v>
      </c>
      <c r="F131" s="139" t="s">
        <v>21</v>
      </c>
      <c r="G131" s="184">
        <v>18610347749</v>
      </c>
      <c r="H131" s="140" t="e">
        <f>#REF!</f>
        <v>#REF!</v>
      </c>
      <c r="I131" s="142" t="e">
        <f t="shared" si="11"/>
        <v>#REF!</v>
      </c>
      <c r="J131" s="148" t="e">
        <f ca="1" t="shared" si="10"/>
        <v>#REF!</v>
      </c>
      <c r="K131" s="139"/>
      <c r="L131" s="139"/>
      <c r="M131" s="215" t="s">
        <v>23</v>
      </c>
    </row>
    <row r="132" ht="21.75" customHeight="1" spans="1:16">
      <c r="A132" s="122">
        <v>130</v>
      </c>
      <c r="B132" s="141" t="s">
        <v>322</v>
      </c>
      <c r="C132" s="141" t="s">
        <v>36</v>
      </c>
      <c r="D132" s="137" t="s">
        <v>251</v>
      </c>
      <c r="E132" s="137" t="s">
        <v>323</v>
      </c>
      <c r="F132" s="139" t="s">
        <v>21</v>
      </c>
      <c r="G132" s="184">
        <v>13661057645</v>
      </c>
      <c r="H132" s="140" t="e">
        <f>#REF!</f>
        <v>#REF!</v>
      </c>
      <c r="I132" s="142" t="e">
        <f t="shared" si="11"/>
        <v>#REF!</v>
      </c>
      <c r="J132" s="148" t="e">
        <f ca="1" t="shared" si="10"/>
        <v>#REF!</v>
      </c>
      <c r="K132" s="139"/>
      <c r="L132" s="139" t="s">
        <v>324</v>
      </c>
      <c r="M132" s="215"/>
    </row>
    <row r="133" ht="21.75" customHeight="1" spans="1:16">
      <c r="A133" s="122">
        <v>131</v>
      </c>
      <c r="B133" s="141" t="s">
        <v>325</v>
      </c>
      <c r="C133" s="137" t="s">
        <v>36</v>
      </c>
      <c r="D133" s="141" t="s">
        <v>86</v>
      </c>
      <c r="E133" s="137" t="s">
        <v>153</v>
      </c>
      <c r="F133" s="139" t="s">
        <v>137</v>
      </c>
      <c r="G133" s="276">
        <v>13842720457</v>
      </c>
      <c r="H133" s="140" t="e">
        <f>#REF!</f>
        <v>#REF!</v>
      </c>
      <c r="I133" s="142" t="e">
        <f t="shared" si="11"/>
        <v>#REF!</v>
      </c>
      <c r="J133" s="148" t="e">
        <f ca="1" t="shared" si="10"/>
        <v>#REF!</v>
      </c>
      <c r="K133" s="139" t="s">
        <v>326</v>
      </c>
      <c r="L133" s="139"/>
      <c r="M133" s="137"/>
      <c r="N133" s="94"/>
      <c r="O133" s="94"/>
    </row>
    <row r="134" ht="21.75" customHeight="1" spans="1:16">
      <c r="A134" s="122">
        <v>132</v>
      </c>
      <c r="B134" s="141" t="s">
        <v>327</v>
      </c>
      <c r="C134" s="141" t="s">
        <v>25</v>
      </c>
      <c r="D134" s="137" t="s">
        <v>215</v>
      </c>
      <c r="E134" s="137" t="s">
        <v>87</v>
      </c>
      <c r="F134" s="139" t="s">
        <v>21</v>
      </c>
      <c r="G134" s="184">
        <v>18515001541</v>
      </c>
      <c r="H134" s="140" t="e">
        <f>#REF!</f>
        <v>#REF!</v>
      </c>
      <c r="I134" s="142" t="e">
        <f t="shared" si="11"/>
        <v>#REF!</v>
      </c>
      <c r="J134" s="148" t="e">
        <f ca="1" t="shared" si="10"/>
        <v>#REF!</v>
      </c>
      <c r="K134" s="139"/>
      <c r="L134" s="139"/>
      <c r="M134" s="215" t="s">
        <v>23</v>
      </c>
    </row>
    <row r="135" ht="21.75" customHeight="1" spans="1:16">
      <c r="A135" s="122">
        <v>133</v>
      </c>
      <c r="B135" s="141" t="s">
        <v>328</v>
      </c>
      <c r="C135" s="141" t="s">
        <v>52</v>
      </c>
      <c r="D135" s="137" t="s">
        <v>194</v>
      </c>
      <c r="E135" s="137" t="s">
        <v>329</v>
      </c>
      <c r="F135" s="139" t="s">
        <v>21</v>
      </c>
      <c r="G135" s="184">
        <v>15652391094</v>
      </c>
      <c r="H135" s="140" t="e">
        <f>#REF!</f>
        <v>#REF!</v>
      </c>
      <c r="I135" s="142" t="e">
        <f t="shared" si="11"/>
        <v>#REF!</v>
      </c>
      <c r="J135" s="148" t="e">
        <f ca="1" t="shared" si="10"/>
        <v>#REF!</v>
      </c>
      <c r="K135" s="139"/>
      <c r="L135" s="139"/>
      <c r="M135" s="215" t="s">
        <v>23</v>
      </c>
    </row>
    <row r="136" s="94" customFormat="1" ht="21.75" customHeight="1" spans="1:16">
      <c r="A136" s="122">
        <v>134</v>
      </c>
      <c r="B136" s="141" t="s">
        <v>330</v>
      </c>
      <c r="C136" s="141" t="s">
        <v>36</v>
      </c>
      <c r="D136" s="137" t="s">
        <v>106</v>
      </c>
      <c r="E136" s="137" t="s">
        <v>65</v>
      </c>
      <c r="F136" s="139" t="s">
        <v>21</v>
      </c>
      <c r="G136" s="184">
        <v>18636273322</v>
      </c>
      <c r="H136" s="140" t="e">
        <f>#REF!</f>
        <v>#REF!</v>
      </c>
      <c r="I136" s="142" t="e">
        <f t="shared" si="11"/>
        <v>#REF!</v>
      </c>
      <c r="J136" s="148" t="e">
        <f ca="1" t="shared" si="10"/>
        <v>#REF!</v>
      </c>
      <c r="K136" s="139"/>
      <c r="L136" s="139"/>
      <c r="M136" s="215" t="s">
        <v>23</v>
      </c>
      <c r="N136" s="261"/>
      <c r="O136" s="261"/>
    </row>
    <row r="137" ht="21.75" customHeight="1" spans="1:16">
      <c r="A137" s="122">
        <v>135</v>
      </c>
      <c r="B137" s="141" t="s">
        <v>331</v>
      </c>
      <c r="C137" s="141" t="s">
        <v>36</v>
      </c>
      <c r="D137" s="137" t="s">
        <v>130</v>
      </c>
      <c r="E137" s="137" t="s">
        <v>332</v>
      </c>
      <c r="F137" s="139" t="s">
        <v>21</v>
      </c>
      <c r="G137" s="184">
        <v>18500064939</v>
      </c>
      <c r="H137" s="140" t="e">
        <f>#REF!</f>
        <v>#REF!</v>
      </c>
      <c r="I137" s="142" t="e">
        <f t="shared" si="11"/>
        <v>#REF!</v>
      </c>
      <c r="J137" s="148" t="e">
        <f ca="1" t="shared" si="10"/>
        <v>#REF!</v>
      </c>
      <c r="K137" s="139"/>
      <c r="L137" s="139"/>
      <c r="M137" s="215" t="s">
        <v>23</v>
      </c>
      <c r="P137" s="261" t="s">
        <v>333</v>
      </c>
    </row>
    <row r="138" ht="21.75" customHeight="1" spans="1:16">
      <c r="A138" s="122">
        <v>136</v>
      </c>
      <c r="B138" s="270" t="s">
        <v>334</v>
      </c>
      <c r="C138" s="270" t="s">
        <v>18</v>
      </c>
      <c r="D138" s="272" t="s">
        <v>29</v>
      </c>
      <c r="E138" s="137" t="s">
        <v>27</v>
      </c>
      <c r="F138" s="272" t="s">
        <v>21</v>
      </c>
      <c r="G138" s="279">
        <v>15600991570</v>
      </c>
      <c r="H138" s="274"/>
      <c r="I138" s="274"/>
      <c r="J138" s="275"/>
      <c r="K138" s="272"/>
      <c r="L138" s="272" t="s">
        <v>335</v>
      </c>
      <c r="M138" s="215"/>
    </row>
    <row r="139" ht="21.75" customHeight="1" spans="1:16">
      <c r="A139" s="122">
        <v>137</v>
      </c>
      <c r="B139" s="141" t="s">
        <v>336</v>
      </c>
      <c r="C139" s="141" t="s">
        <v>132</v>
      </c>
      <c r="D139" s="137" t="s">
        <v>133</v>
      </c>
      <c r="E139" s="137" t="s">
        <v>56</v>
      </c>
      <c r="F139" s="139" t="s">
        <v>21</v>
      </c>
      <c r="G139" s="184">
        <v>18501358652</v>
      </c>
      <c r="H139" s="140" t="e">
        <f>#REF!</f>
        <v>#REF!</v>
      </c>
      <c r="I139" s="142" t="e">
        <f t="shared" ref="I139:I146" si="12">EDATE(H139,36)-1</f>
        <v>#REF!</v>
      </c>
      <c r="J139" s="148" t="e">
        <f ca="1" t="shared" ref="J139:J146" si="13">ROUND(I139-NOW(),0)</f>
        <v>#REF!</v>
      </c>
      <c r="K139" s="139"/>
      <c r="L139" s="139"/>
      <c r="M139" s="215" t="s">
        <v>23</v>
      </c>
    </row>
    <row r="140" ht="21.75" customHeight="1" spans="1:16">
      <c r="A140" s="122">
        <v>138</v>
      </c>
      <c r="B140" s="141" t="s">
        <v>337</v>
      </c>
      <c r="C140" s="141" t="s">
        <v>132</v>
      </c>
      <c r="D140" s="137" t="s">
        <v>133</v>
      </c>
      <c r="E140" s="137" t="s">
        <v>181</v>
      </c>
      <c r="F140" s="139" t="s">
        <v>21</v>
      </c>
      <c r="G140" s="184">
        <v>18500628481</v>
      </c>
      <c r="H140" s="140" t="e">
        <f>#REF!</f>
        <v>#REF!</v>
      </c>
      <c r="I140" s="142" t="e">
        <f t="shared" si="12"/>
        <v>#REF!</v>
      </c>
      <c r="J140" s="148" t="e">
        <f ca="1" t="shared" si="13"/>
        <v>#REF!</v>
      </c>
      <c r="K140" s="139"/>
      <c r="L140" s="139"/>
      <c r="M140" s="215" t="s">
        <v>23</v>
      </c>
    </row>
    <row r="141" ht="21.75" customHeight="1" spans="1:16">
      <c r="A141" s="122">
        <v>139</v>
      </c>
      <c r="B141" s="141" t="s">
        <v>338</v>
      </c>
      <c r="C141" s="141" t="s">
        <v>18</v>
      </c>
      <c r="D141" s="137" t="s">
        <v>58</v>
      </c>
      <c r="E141" s="137" t="s">
        <v>119</v>
      </c>
      <c r="F141" s="139" t="s">
        <v>21</v>
      </c>
      <c r="G141" s="184">
        <v>15120003866</v>
      </c>
      <c r="H141" s="140">
        <v>42747</v>
      </c>
      <c r="I141" s="142">
        <f t="shared" si="12"/>
        <v>43841</v>
      </c>
      <c r="J141" s="148">
        <f ca="1" t="shared" si="13"/>
        <v>-2211</v>
      </c>
      <c r="K141" s="139"/>
      <c r="L141" s="139" t="s">
        <v>339</v>
      </c>
      <c r="M141" s="215"/>
      <c r="P141" s="261" t="s">
        <v>340</v>
      </c>
    </row>
    <row r="142" ht="21.75" customHeight="1" spans="1:16">
      <c r="A142" s="122">
        <v>140</v>
      </c>
      <c r="B142" s="141" t="s">
        <v>341</v>
      </c>
      <c r="C142" s="141" t="s">
        <v>25</v>
      </c>
      <c r="D142" s="137" t="s">
        <v>55</v>
      </c>
      <c r="E142" s="137" t="s">
        <v>56</v>
      </c>
      <c r="F142" s="139" t="s">
        <v>21</v>
      </c>
      <c r="G142" s="184">
        <v>18301411619</v>
      </c>
      <c r="H142" s="140" t="e">
        <f>#REF!</f>
        <v>#REF!</v>
      </c>
      <c r="I142" s="142" t="e">
        <f t="shared" si="12"/>
        <v>#REF!</v>
      </c>
      <c r="J142" s="148" t="e">
        <f ca="1" t="shared" si="13"/>
        <v>#REF!</v>
      </c>
      <c r="K142" s="139"/>
      <c r="L142" s="139"/>
      <c r="M142" s="215" t="s">
        <v>23</v>
      </c>
      <c r="P142" s="261" t="s">
        <v>342</v>
      </c>
    </row>
    <row r="143" ht="21.75" customHeight="1" spans="1:16">
      <c r="A143" s="122">
        <v>141</v>
      </c>
      <c r="B143" s="141" t="s">
        <v>343</v>
      </c>
      <c r="C143" s="137" t="s">
        <v>224</v>
      </c>
      <c r="D143" s="137" t="s">
        <v>225</v>
      </c>
      <c r="E143" s="137" t="s">
        <v>226</v>
      </c>
      <c r="F143" s="139" t="s">
        <v>21</v>
      </c>
      <c r="G143" s="184">
        <v>18966900402</v>
      </c>
      <c r="H143" s="140" t="e">
        <f>#REF!</f>
        <v>#REF!</v>
      </c>
      <c r="I143" s="142" t="e">
        <f t="shared" si="12"/>
        <v>#REF!</v>
      </c>
      <c r="J143" s="148" t="e">
        <f ca="1" t="shared" si="13"/>
        <v>#REF!</v>
      </c>
      <c r="K143" s="139"/>
      <c r="L143" s="139"/>
      <c r="M143" s="215" t="s">
        <v>23</v>
      </c>
    </row>
    <row r="144" ht="21.75" customHeight="1" spans="1:16">
      <c r="A144" s="122">
        <v>142</v>
      </c>
      <c r="B144" s="141" t="s">
        <v>344</v>
      </c>
      <c r="C144" s="141" t="s">
        <v>25</v>
      </c>
      <c r="D144" s="137" t="s">
        <v>114</v>
      </c>
      <c r="E144" s="137" t="s">
        <v>48</v>
      </c>
      <c r="F144" s="139" t="s">
        <v>21</v>
      </c>
      <c r="G144" s="184">
        <v>18611184519</v>
      </c>
      <c r="H144" s="140" t="e">
        <f>#REF!</f>
        <v>#REF!</v>
      </c>
      <c r="I144" s="142" t="e">
        <f t="shared" si="12"/>
        <v>#REF!</v>
      </c>
      <c r="J144" s="148" t="e">
        <f ca="1" t="shared" si="13"/>
        <v>#REF!</v>
      </c>
      <c r="K144" s="139"/>
      <c r="L144" s="139"/>
      <c r="M144" s="215"/>
    </row>
    <row r="145" ht="21.75" customHeight="1" spans="1:15">
      <c r="A145" s="122">
        <v>143</v>
      </c>
      <c r="B145" s="141" t="s">
        <v>345</v>
      </c>
      <c r="C145" s="141" t="s">
        <v>36</v>
      </c>
      <c r="D145" s="137" t="s">
        <v>106</v>
      </c>
      <c r="E145" s="137" t="s">
        <v>115</v>
      </c>
      <c r="F145" s="139" t="s">
        <v>21</v>
      </c>
      <c r="G145" s="184">
        <v>13661253975</v>
      </c>
      <c r="H145" s="140" t="e">
        <f>#REF!</f>
        <v>#REF!</v>
      </c>
      <c r="I145" s="142" t="e">
        <f t="shared" si="12"/>
        <v>#REF!</v>
      </c>
      <c r="J145" s="148" t="e">
        <f ca="1" t="shared" si="13"/>
        <v>#REF!</v>
      </c>
      <c r="K145" s="139"/>
      <c r="L145" s="139"/>
      <c r="M145" s="215" t="s">
        <v>23</v>
      </c>
    </row>
    <row r="146" ht="21.75" customHeight="1" spans="1:15">
      <c r="A146" s="122">
        <v>144</v>
      </c>
      <c r="B146" s="141" t="s">
        <v>346</v>
      </c>
      <c r="C146" s="141" t="s">
        <v>72</v>
      </c>
      <c r="D146" s="137" t="s">
        <v>73</v>
      </c>
      <c r="E146" s="137" t="s">
        <v>347</v>
      </c>
      <c r="F146" s="139" t="s">
        <v>348</v>
      </c>
      <c r="G146" s="276">
        <v>13122386770</v>
      </c>
      <c r="H146" s="140" t="e">
        <f>#REF!</f>
        <v>#REF!</v>
      </c>
      <c r="I146" s="142" t="e">
        <f t="shared" si="12"/>
        <v>#REF!</v>
      </c>
      <c r="J146" s="148" t="e">
        <f ca="1" t="shared" si="13"/>
        <v>#REF!</v>
      </c>
      <c r="K146" s="139"/>
      <c r="L146" s="139"/>
      <c r="M146" s="137" t="s">
        <v>23</v>
      </c>
      <c r="N146" s="94"/>
      <c r="O146" s="94"/>
    </row>
    <row r="147" s="94" customFormat="1" ht="21.75" customHeight="1" spans="1:15">
      <c r="A147" s="122">
        <v>145</v>
      </c>
      <c r="B147" s="270" t="s">
        <v>349</v>
      </c>
      <c r="C147" s="270" t="s">
        <v>18</v>
      </c>
      <c r="D147" s="272" t="s">
        <v>44</v>
      </c>
      <c r="E147" s="137" t="s">
        <v>27</v>
      </c>
      <c r="F147" s="272" t="s">
        <v>21</v>
      </c>
      <c r="G147" s="279">
        <v>13121627145</v>
      </c>
      <c r="H147" s="274"/>
      <c r="I147" s="274"/>
      <c r="J147" s="275"/>
      <c r="K147" s="272"/>
      <c r="L147" s="272" t="s">
        <v>350</v>
      </c>
      <c r="M147" s="215"/>
      <c r="N147" s="261"/>
      <c r="O147" s="261"/>
    </row>
    <row r="148" ht="21.75" customHeight="1" spans="1:15">
      <c r="A148" s="122">
        <v>146</v>
      </c>
      <c r="B148" s="141" t="s">
        <v>351</v>
      </c>
      <c r="C148" s="141" t="s">
        <v>78</v>
      </c>
      <c r="D148" s="137" t="s">
        <v>218</v>
      </c>
      <c r="E148" s="137" t="s">
        <v>219</v>
      </c>
      <c r="F148" s="139" t="s">
        <v>352</v>
      </c>
      <c r="G148" s="223">
        <v>18660139883</v>
      </c>
      <c r="H148" s="142">
        <v>42851</v>
      </c>
      <c r="I148" s="142">
        <v>43947</v>
      </c>
      <c r="J148" s="148">
        <f ca="1" t="shared" ref="J148:J155" si="14">ROUND(I148-NOW(),0)</f>
        <v>-2105</v>
      </c>
      <c r="K148" s="139" t="s">
        <v>353</v>
      </c>
      <c r="L148" s="139"/>
      <c r="M148" s="137" t="s">
        <v>23</v>
      </c>
      <c r="N148" s="94"/>
      <c r="O148" s="94"/>
    </row>
    <row r="149" s="94" customFormat="1" ht="21.75" customHeight="1" spans="1:15">
      <c r="A149" s="122">
        <v>147</v>
      </c>
      <c r="B149" s="141" t="s">
        <v>354</v>
      </c>
      <c r="C149" s="141" t="s">
        <v>72</v>
      </c>
      <c r="D149" s="137" t="s">
        <v>73</v>
      </c>
      <c r="E149" s="137" t="s">
        <v>219</v>
      </c>
      <c r="F149" s="139" t="s">
        <v>21</v>
      </c>
      <c r="G149" s="184">
        <v>13810729859</v>
      </c>
      <c r="H149" s="140" t="e">
        <f>#REF!</f>
        <v>#REF!</v>
      </c>
      <c r="I149" s="142" t="e">
        <f>EDATE(H149,36)-1</f>
        <v>#REF!</v>
      </c>
      <c r="J149" s="148" t="e">
        <f ca="1" t="shared" si="14"/>
        <v>#REF!</v>
      </c>
      <c r="K149" s="139"/>
      <c r="L149" s="139" t="s">
        <v>355</v>
      </c>
      <c r="M149" s="215" t="s">
        <v>23</v>
      </c>
      <c r="N149" s="261"/>
      <c r="O149" s="261"/>
    </row>
    <row r="150" ht="21.75" customHeight="1" spans="1:15">
      <c r="A150" s="122">
        <v>148</v>
      </c>
      <c r="B150" s="141" t="s">
        <v>356</v>
      </c>
      <c r="C150" s="141" t="s">
        <v>52</v>
      </c>
      <c r="D150" s="137" t="s">
        <v>133</v>
      </c>
      <c r="E150" s="137" t="s">
        <v>107</v>
      </c>
      <c r="F150" s="139" t="s">
        <v>21</v>
      </c>
      <c r="G150" s="184">
        <v>13439790347</v>
      </c>
      <c r="H150" s="140" t="e">
        <f>#REF!</f>
        <v>#REF!</v>
      </c>
      <c r="I150" s="142" t="e">
        <f>EDATE(H150,36)-1</f>
        <v>#REF!</v>
      </c>
      <c r="J150" s="148" t="e">
        <f ca="1" t="shared" si="14"/>
        <v>#REF!</v>
      </c>
      <c r="K150" s="139"/>
      <c r="L150" s="139" t="s">
        <v>357</v>
      </c>
      <c r="M150" s="215" t="s">
        <v>23</v>
      </c>
    </row>
    <row r="151" s="94" customFormat="1" ht="21.75" customHeight="1" spans="1:15">
      <c r="A151" s="122">
        <v>149</v>
      </c>
      <c r="B151" s="141" t="s">
        <v>358</v>
      </c>
      <c r="C151" s="141" t="s">
        <v>52</v>
      </c>
      <c r="D151" s="137" t="s">
        <v>133</v>
      </c>
      <c r="E151" s="137" t="s">
        <v>56</v>
      </c>
      <c r="F151" s="139" t="s">
        <v>21</v>
      </c>
      <c r="G151" s="223">
        <v>18858158141</v>
      </c>
      <c r="H151" s="142">
        <v>42489</v>
      </c>
      <c r="I151" s="142">
        <v>43219</v>
      </c>
      <c r="J151" s="148">
        <f ca="1" t="shared" si="14"/>
        <v>-2833</v>
      </c>
      <c r="K151" s="139"/>
      <c r="L151" s="139" t="s">
        <v>359</v>
      </c>
      <c r="M151" s="137" t="s">
        <v>23</v>
      </c>
    </row>
    <row r="152" ht="21.75" customHeight="1" spans="1:15">
      <c r="A152" s="122">
        <v>150</v>
      </c>
      <c r="B152" s="141" t="s">
        <v>360</v>
      </c>
      <c r="C152" s="137" t="s">
        <v>36</v>
      </c>
      <c r="D152" s="137" t="s">
        <v>86</v>
      </c>
      <c r="E152" s="137" t="s">
        <v>87</v>
      </c>
      <c r="F152" s="139" t="s">
        <v>137</v>
      </c>
      <c r="G152" s="276">
        <v>18061908941</v>
      </c>
      <c r="H152" s="140" t="e">
        <f>#REF!</f>
        <v>#REF!</v>
      </c>
      <c r="I152" s="142" t="e">
        <f>EDATE(H152,36)-1</f>
        <v>#REF!</v>
      </c>
      <c r="J152" s="148" t="e">
        <f ca="1" t="shared" si="14"/>
        <v>#REF!</v>
      </c>
      <c r="K152" s="139"/>
      <c r="L152" s="139"/>
      <c r="M152" s="137"/>
      <c r="N152" s="94"/>
      <c r="O152" s="94"/>
    </row>
    <row r="153" ht="21.75" customHeight="1" spans="1:15">
      <c r="A153" s="122">
        <v>151</v>
      </c>
      <c r="B153" s="141" t="s">
        <v>361</v>
      </c>
      <c r="C153" s="137" t="s">
        <v>78</v>
      </c>
      <c r="D153" s="137" t="s">
        <v>79</v>
      </c>
      <c r="E153" s="137" t="s">
        <v>362</v>
      </c>
      <c r="F153" s="139" t="s">
        <v>21</v>
      </c>
      <c r="G153" s="184">
        <v>13671337750</v>
      </c>
      <c r="H153" s="140" t="e">
        <f>#REF!</f>
        <v>#REF!</v>
      </c>
      <c r="I153" s="142" t="e">
        <f>EDATE(H153,36)-1</f>
        <v>#REF!</v>
      </c>
      <c r="J153" s="148" t="e">
        <f ca="1" t="shared" si="14"/>
        <v>#REF!</v>
      </c>
      <c r="K153" s="139"/>
      <c r="L153" s="139"/>
      <c r="M153" s="215"/>
    </row>
    <row r="154" s="94" customFormat="1" ht="21.75" customHeight="1" spans="1:15">
      <c r="A154" s="122">
        <v>152</v>
      </c>
      <c r="B154" s="141" t="s">
        <v>363</v>
      </c>
      <c r="C154" s="141" t="s">
        <v>132</v>
      </c>
      <c r="D154" s="137" t="s">
        <v>133</v>
      </c>
      <c r="E154" s="137" t="s">
        <v>56</v>
      </c>
      <c r="F154" s="139" t="s">
        <v>21</v>
      </c>
      <c r="G154" s="184">
        <v>18001196068</v>
      </c>
      <c r="H154" s="140" t="e">
        <f>#REF!</f>
        <v>#REF!</v>
      </c>
      <c r="I154" s="142" t="e">
        <f>EDATE(H154,36)-1</f>
        <v>#REF!</v>
      </c>
      <c r="J154" s="148" t="e">
        <f ca="1" t="shared" si="14"/>
        <v>#REF!</v>
      </c>
      <c r="K154" s="139"/>
      <c r="L154" s="139"/>
      <c r="M154" s="215" t="s">
        <v>23</v>
      </c>
      <c r="N154" s="261"/>
      <c r="O154" s="261"/>
    </row>
    <row r="155" s="94" customFormat="1" ht="21.75" customHeight="1" spans="1:15">
      <c r="A155" s="122">
        <v>153</v>
      </c>
      <c r="B155" s="141" t="s">
        <v>364</v>
      </c>
      <c r="C155" s="141" t="s">
        <v>78</v>
      </c>
      <c r="D155" s="137" t="s">
        <v>218</v>
      </c>
      <c r="E155" s="137" t="s">
        <v>347</v>
      </c>
      <c r="F155" s="139" t="s">
        <v>365</v>
      </c>
      <c r="G155" s="223">
        <v>18627810004</v>
      </c>
      <c r="H155" s="142">
        <v>42860</v>
      </c>
      <c r="I155" s="142">
        <v>43956</v>
      </c>
      <c r="J155" s="148">
        <f ca="1" t="shared" si="14"/>
        <v>-2096</v>
      </c>
      <c r="K155" s="139" t="s">
        <v>366</v>
      </c>
      <c r="L155" s="139"/>
      <c r="M155" s="137" t="s">
        <v>23</v>
      </c>
    </row>
    <row r="156" ht="21.75" customHeight="1" spans="1:15">
      <c r="A156" s="122">
        <v>154</v>
      </c>
      <c r="B156" s="270" t="s">
        <v>367</v>
      </c>
      <c r="C156" s="270" t="s">
        <v>52</v>
      </c>
      <c r="D156" s="270" t="s">
        <v>94</v>
      </c>
      <c r="E156" s="137" t="s">
        <v>27</v>
      </c>
      <c r="F156" s="272" t="s">
        <v>21</v>
      </c>
      <c r="G156" s="279">
        <v>18800183287</v>
      </c>
      <c r="H156" s="274"/>
      <c r="I156" s="274"/>
      <c r="J156" s="275"/>
      <c r="K156" s="272"/>
      <c r="L156" s="272" t="s">
        <v>368</v>
      </c>
      <c r="M156" s="215"/>
    </row>
    <row r="157" s="94" customFormat="1" ht="21.75" customHeight="1" spans="1:15">
      <c r="A157" s="122">
        <v>155</v>
      </c>
      <c r="B157" s="141" t="s">
        <v>369</v>
      </c>
      <c r="C157" s="141" t="s">
        <v>78</v>
      </c>
      <c r="D157" s="137" t="s">
        <v>218</v>
      </c>
      <c r="E157" s="137" t="s">
        <v>347</v>
      </c>
      <c r="F157" s="139" t="s">
        <v>370</v>
      </c>
      <c r="G157" s="223">
        <v>13438092514</v>
      </c>
      <c r="H157" s="142">
        <v>42495</v>
      </c>
      <c r="I157" s="142">
        <v>43225</v>
      </c>
      <c r="J157" s="148">
        <f ca="1">ROUND(I157-NOW(),0)</f>
        <v>-2827</v>
      </c>
      <c r="K157" s="139"/>
      <c r="L157" s="139"/>
      <c r="M157" s="137" t="s">
        <v>23</v>
      </c>
    </row>
    <row r="158" s="94" customFormat="1" ht="21.75" customHeight="1" spans="1:15">
      <c r="A158" s="122">
        <v>156</v>
      </c>
      <c r="B158" s="141" t="s">
        <v>371</v>
      </c>
      <c r="C158" s="137" t="s">
        <v>36</v>
      </c>
      <c r="D158" s="137" t="s">
        <v>86</v>
      </c>
      <c r="E158" s="137" t="s">
        <v>97</v>
      </c>
      <c r="F158" s="139" t="s">
        <v>137</v>
      </c>
      <c r="G158" s="276">
        <v>17715671379</v>
      </c>
      <c r="H158" s="140" t="e">
        <f>#REF!</f>
        <v>#REF!</v>
      </c>
      <c r="I158" s="142" t="e">
        <f>EDATE(H158,36)-1</f>
        <v>#REF!</v>
      </c>
      <c r="J158" s="148" t="e">
        <f ca="1">ROUND(I158-NOW(),0)</f>
        <v>#REF!</v>
      </c>
      <c r="K158" s="139"/>
      <c r="L158" s="139"/>
      <c r="M158" s="137" t="s">
        <v>23</v>
      </c>
    </row>
    <row r="159" s="94" customFormat="1" ht="21.75" customHeight="1" spans="1:15">
      <c r="A159" s="122">
        <v>157</v>
      </c>
      <c r="B159" s="141" t="s">
        <v>372</v>
      </c>
      <c r="C159" s="141" t="s">
        <v>18</v>
      </c>
      <c r="D159" s="137" t="s">
        <v>32</v>
      </c>
      <c r="E159" s="137" t="s">
        <v>56</v>
      </c>
      <c r="F159" s="139" t="s">
        <v>21</v>
      </c>
      <c r="G159" s="184">
        <v>18258853150</v>
      </c>
      <c r="H159" s="140" t="e">
        <f>#REF!</f>
        <v>#REF!</v>
      </c>
      <c r="I159" s="142" t="e">
        <f>EDATE(H159,36)-1</f>
        <v>#REF!</v>
      </c>
      <c r="J159" s="148" t="e">
        <f ca="1">ROUND(I159-NOW(),0)</f>
        <v>#REF!</v>
      </c>
      <c r="K159" s="139"/>
      <c r="L159" s="139"/>
      <c r="M159" s="215" t="s">
        <v>23</v>
      </c>
      <c r="N159" s="261"/>
      <c r="O159" s="261"/>
    </row>
    <row r="160" ht="21.75" customHeight="1" spans="1:15">
      <c r="A160" s="122">
        <v>158</v>
      </c>
      <c r="B160" s="270" t="s">
        <v>373</v>
      </c>
      <c r="C160" s="270" t="s">
        <v>18</v>
      </c>
      <c r="D160" s="272" t="s">
        <v>118</v>
      </c>
      <c r="E160" s="137" t="s">
        <v>27</v>
      </c>
      <c r="F160" s="272" t="s">
        <v>21</v>
      </c>
      <c r="G160" s="279">
        <v>18696207698</v>
      </c>
      <c r="H160" s="274"/>
      <c r="I160" s="274"/>
      <c r="J160" s="275"/>
      <c r="K160" s="272"/>
      <c r="L160" s="272" t="s">
        <v>374</v>
      </c>
      <c r="M160" s="215"/>
    </row>
    <row r="161" s="94" customFormat="1" ht="21.75" customHeight="1" spans="1:15">
      <c r="A161" s="122">
        <v>159</v>
      </c>
      <c r="B161" s="141" t="s">
        <v>375</v>
      </c>
      <c r="C161" s="141" t="s">
        <v>72</v>
      </c>
      <c r="D161" s="137" t="s">
        <v>73</v>
      </c>
      <c r="E161" s="137" t="s">
        <v>347</v>
      </c>
      <c r="F161" s="139" t="s">
        <v>348</v>
      </c>
      <c r="G161" s="276">
        <v>15121121785</v>
      </c>
      <c r="H161" s="140" t="e">
        <f>#REF!</f>
        <v>#REF!</v>
      </c>
      <c r="I161" s="142" t="e">
        <f>EDATE(H161,36)-1</f>
        <v>#REF!</v>
      </c>
      <c r="J161" s="148" t="e">
        <f ca="1">ROUND(I161-NOW(),0)</f>
        <v>#REF!</v>
      </c>
      <c r="K161" s="139"/>
      <c r="L161" s="139"/>
      <c r="M161" s="137" t="s">
        <v>23</v>
      </c>
    </row>
    <row r="162" ht="21.75" customHeight="1" spans="1:15">
      <c r="A162" s="122">
        <v>160</v>
      </c>
      <c r="B162" s="127" t="s">
        <v>376</v>
      </c>
      <c r="C162" s="123" t="s">
        <v>52</v>
      </c>
      <c r="D162" s="123" t="s">
        <v>194</v>
      </c>
      <c r="E162" s="137" t="s">
        <v>27</v>
      </c>
      <c r="F162" s="125" t="s">
        <v>21</v>
      </c>
      <c r="G162" s="176">
        <v>18810567844</v>
      </c>
      <c r="H162" s="126"/>
      <c r="I162" s="128"/>
      <c r="J162" s="135"/>
      <c r="K162" s="125"/>
      <c r="L162" s="125"/>
      <c r="M162" s="215"/>
    </row>
    <row r="163" s="94" customFormat="1" ht="21.75" customHeight="1" spans="1:15">
      <c r="A163" s="122">
        <v>161</v>
      </c>
      <c r="B163" s="141" t="s">
        <v>377</v>
      </c>
      <c r="C163" s="141" t="s">
        <v>78</v>
      </c>
      <c r="D163" s="137" t="s">
        <v>196</v>
      </c>
      <c r="E163" s="137" t="s">
        <v>219</v>
      </c>
      <c r="F163" s="139" t="s">
        <v>348</v>
      </c>
      <c r="G163" s="276">
        <v>18516525552</v>
      </c>
      <c r="H163" s="140" t="e">
        <f>#REF!</f>
        <v>#REF!</v>
      </c>
      <c r="I163" s="142" t="e">
        <f t="shared" ref="I163:I179" si="15">EDATE(H163,36)-1</f>
        <v>#REF!</v>
      </c>
      <c r="J163" s="148" t="e">
        <f ca="1" t="shared" ref="J163:J179" si="16">ROUND(I163-NOW(),0)</f>
        <v>#REF!</v>
      </c>
      <c r="K163" s="139"/>
      <c r="L163" s="139"/>
      <c r="M163" s="137" t="s">
        <v>23</v>
      </c>
    </row>
    <row r="164" s="94" customFormat="1" ht="21.75" customHeight="1" spans="1:15">
      <c r="A164" s="122">
        <v>162</v>
      </c>
      <c r="B164" s="141" t="s">
        <v>378</v>
      </c>
      <c r="C164" s="137" t="s">
        <v>36</v>
      </c>
      <c r="D164" s="141" t="s">
        <v>86</v>
      </c>
      <c r="E164" s="137" t="s">
        <v>153</v>
      </c>
      <c r="F164" s="139" t="s">
        <v>137</v>
      </c>
      <c r="G164" s="276">
        <v>13093006661</v>
      </c>
      <c r="H164" s="140" t="e">
        <f>#REF!</f>
        <v>#REF!</v>
      </c>
      <c r="I164" s="142" t="e">
        <f t="shared" si="15"/>
        <v>#REF!</v>
      </c>
      <c r="J164" s="148" t="e">
        <f ca="1" t="shared" si="16"/>
        <v>#REF!</v>
      </c>
      <c r="K164" s="139"/>
      <c r="L164" s="139"/>
      <c r="M164" s="137"/>
    </row>
    <row r="165" ht="21.75" customHeight="1" spans="1:15">
      <c r="A165" s="122">
        <v>163</v>
      </c>
      <c r="B165" s="141" t="s">
        <v>379</v>
      </c>
      <c r="C165" s="141" t="s">
        <v>61</v>
      </c>
      <c r="D165" s="137" t="s">
        <v>62</v>
      </c>
      <c r="E165" s="137" t="s">
        <v>380</v>
      </c>
      <c r="F165" s="139" t="s">
        <v>21</v>
      </c>
      <c r="G165" s="184">
        <v>18610672968</v>
      </c>
      <c r="H165" s="140" t="e">
        <f>#REF!</f>
        <v>#REF!</v>
      </c>
      <c r="I165" s="142" t="e">
        <f t="shared" si="15"/>
        <v>#REF!</v>
      </c>
      <c r="J165" s="148" t="e">
        <f ca="1" t="shared" si="16"/>
        <v>#REF!</v>
      </c>
      <c r="K165" s="139"/>
      <c r="L165" s="139"/>
      <c r="M165" s="215" t="s">
        <v>23</v>
      </c>
    </row>
    <row r="166" ht="21.75" customHeight="1" spans="1:15">
      <c r="A166" s="122">
        <v>164</v>
      </c>
      <c r="B166" s="141" t="s">
        <v>381</v>
      </c>
      <c r="C166" s="137" t="s">
        <v>224</v>
      </c>
      <c r="D166" s="137" t="s">
        <v>382</v>
      </c>
      <c r="E166" s="137" t="s">
        <v>126</v>
      </c>
      <c r="F166" s="139" t="s">
        <v>21</v>
      </c>
      <c r="G166" s="184">
        <v>18518763882</v>
      </c>
      <c r="H166" s="140" t="e">
        <f>#REF!</f>
        <v>#REF!</v>
      </c>
      <c r="I166" s="142" t="e">
        <f t="shared" si="15"/>
        <v>#REF!</v>
      </c>
      <c r="J166" s="148" t="e">
        <f ca="1" t="shared" si="16"/>
        <v>#REF!</v>
      </c>
      <c r="K166" s="139"/>
      <c r="L166" s="139"/>
      <c r="M166" s="215" t="s">
        <v>23</v>
      </c>
    </row>
    <row r="167" s="94" customFormat="1" ht="21.75" customHeight="1" spans="1:15">
      <c r="A167" s="122">
        <v>165</v>
      </c>
      <c r="B167" s="141" t="s">
        <v>383</v>
      </c>
      <c r="C167" s="141" t="s">
        <v>18</v>
      </c>
      <c r="D167" s="137" t="s">
        <v>260</v>
      </c>
      <c r="E167" s="137" t="s">
        <v>48</v>
      </c>
      <c r="F167" s="139" t="s">
        <v>21</v>
      </c>
      <c r="G167" s="185">
        <v>18511447815</v>
      </c>
      <c r="H167" s="140" t="e">
        <f>#REF!</f>
        <v>#REF!</v>
      </c>
      <c r="I167" s="142" t="e">
        <f t="shared" si="15"/>
        <v>#REF!</v>
      </c>
      <c r="J167" s="148" t="e">
        <f ca="1" t="shared" si="16"/>
        <v>#REF!</v>
      </c>
      <c r="K167" s="139"/>
      <c r="L167" s="139"/>
      <c r="M167" s="215" t="s">
        <v>23</v>
      </c>
      <c r="N167" s="261"/>
      <c r="O167" s="261"/>
    </row>
    <row r="168" ht="21.75" customHeight="1" spans="1:15">
      <c r="A168" s="122">
        <v>166</v>
      </c>
      <c r="B168" s="141" t="s">
        <v>384</v>
      </c>
      <c r="C168" s="141" t="s">
        <v>72</v>
      </c>
      <c r="D168" s="137" t="s">
        <v>73</v>
      </c>
      <c r="E168" s="137" t="s">
        <v>178</v>
      </c>
      <c r="F168" s="139" t="s">
        <v>352</v>
      </c>
      <c r="G168" s="276">
        <v>15018408115</v>
      </c>
      <c r="H168" s="140" t="e">
        <f>#REF!</f>
        <v>#REF!</v>
      </c>
      <c r="I168" s="142" t="e">
        <f t="shared" si="15"/>
        <v>#REF!</v>
      </c>
      <c r="J168" s="148" t="e">
        <f ca="1" t="shared" si="16"/>
        <v>#REF!</v>
      </c>
      <c r="K168" s="139"/>
      <c r="L168" s="139"/>
      <c r="M168" s="137" t="s">
        <v>23</v>
      </c>
      <c r="N168" s="94"/>
      <c r="O168" s="94"/>
    </row>
    <row r="169" ht="21.75" customHeight="1" spans="1:15">
      <c r="A169" s="122">
        <v>167</v>
      </c>
      <c r="B169" s="141" t="s">
        <v>385</v>
      </c>
      <c r="C169" s="141" t="s">
        <v>78</v>
      </c>
      <c r="D169" s="137" t="s">
        <v>196</v>
      </c>
      <c r="E169" s="137" t="s">
        <v>347</v>
      </c>
      <c r="F169" s="139" t="s">
        <v>21</v>
      </c>
      <c r="G169" s="184">
        <v>13501219270</v>
      </c>
      <c r="H169" s="140" t="e">
        <f>#REF!</f>
        <v>#REF!</v>
      </c>
      <c r="I169" s="142" t="e">
        <f t="shared" si="15"/>
        <v>#REF!</v>
      </c>
      <c r="J169" s="148" t="e">
        <f ca="1" t="shared" si="16"/>
        <v>#REF!</v>
      </c>
      <c r="K169" s="139"/>
      <c r="L169" s="139"/>
      <c r="M169" s="215" t="s">
        <v>23</v>
      </c>
    </row>
    <row r="170" ht="21.75" customHeight="1" spans="1:15">
      <c r="A170" s="122">
        <v>168</v>
      </c>
      <c r="B170" s="141" t="s">
        <v>386</v>
      </c>
      <c r="C170" s="141" t="s">
        <v>36</v>
      </c>
      <c r="D170" s="137" t="s">
        <v>86</v>
      </c>
      <c r="E170" s="137" t="s">
        <v>97</v>
      </c>
      <c r="F170" s="139" t="s">
        <v>21</v>
      </c>
      <c r="G170" s="184">
        <v>18901171219</v>
      </c>
      <c r="H170" s="140" t="e">
        <f>#REF!</f>
        <v>#REF!</v>
      </c>
      <c r="I170" s="142" t="e">
        <f t="shared" si="15"/>
        <v>#REF!</v>
      </c>
      <c r="J170" s="148" t="e">
        <f ca="1" t="shared" si="16"/>
        <v>#REF!</v>
      </c>
      <c r="K170" s="139"/>
      <c r="L170" s="139"/>
      <c r="M170" s="215" t="s">
        <v>23</v>
      </c>
    </row>
    <row r="171" ht="21.75" customHeight="1" spans="1:15">
      <c r="A171" s="122">
        <v>169</v>
      </c>
      <c r="B171" s="141" t="s">
        <v>387</v>
      </c>
      <c r="C171" s="141" t="s">
        <v>52</v>
      </c>
      <c r="D171" s="137" t="s">
        <v>125</v>
      </c>
      <c r="E171" s="137" t="s">
        <v>388</v>
      </c>
      <c r="F171" s="139" t="s">
        <v>21</v>
      </c>
      <c r="G171" s="184">
        <v>18610470056</v>
      </c>
      <c r="H171" s="140" t="e">
        <f>#REF!</f>
        <v>#REF!</v>
      </c>
      <c r="I171" s="142" t="e">
        <f t="shared" si="15"/>
        <v>#REF!</v>
      </c>
      <c r="J171" s="148" t="e">
        <f ca="1" t="shared" si="16"/>
        <v>#REF!</v>
      </c>
      <c r="K171" s="139"/>
      <c r="L171" s="139"/>
      <c r="M171" s="215" t="s">
        <v>23</v>
      </c>
    </row>
    <row r="172" ht="21.75" customHeight="1" spans="1:15">
      <c r="A172" s="122">
        <v>170</v>
      </c>
      <c r="B172" s="141" t="s">
        <v>389</v>
      </c>
      <c r="C172" s="141" t="s">
        <v>36</v>
      </c>
      <c r="D172" s="137" t="s">
        <v>145</v>
      </c>
      <c r="E172" s="137" t="s">
        <v>87</v>
      </c>
      <c r="F172" s="139" t="s">
        <v>21</v>
      </c>
      <c r="G172" s="184">
        <v>15810609606</v>
      </c>
      <c r="H172" s="140" t="e">
        <f>#REF!</f>
        <v>#REF!</v>
      </c>
      <c r="I172" s="142" t="e">
        <f t="shared" si="15"/>
        <v>#REF!</v>
      </c>
      <c r="J172" s="148" t="e">
        <f ca="1" t="shared" si="16"/>
        <v>#REF!</v>
      </c>
      <c r="K172" s="139"/>
      <c r="L172" s="139"/>
      <c r="M172" s="215" t="s">
        <v>23</v>
      </c>
    </row>
    <row r="173" ht="21.75" customHeight="1" spans="1:15">
      <c r="A173" s="122">
        <v>171</v>
      </c>
      <c r="B173" s="141" t="s">
        <v>390</v>
      </c>
      <c r="C173" s="141" t="s">
        <v>25</v>
      </c>
      <c r="D173" s="137" t="s">
        <v>289</v>
      </c>
      <c r="E173" s="137" t="s">
        <v>216</v>
      </c>
      <c r="F173" s="139" t="s">
        <v>21</v>
      </c>
      <c r="G173" s="184">
        <v>15101059357</v>
      </c>
      <c r="H173" s="140" t="e">
        <f>#REF!</f>
        <v>#REF!</v>
      </c>
      <c r="I173" s="142" t="e">
        <f t="shared" si="15"/>
        <v>#REF!</v>
      </c>
      <c r="J173" s="148" t="e">
        <f ca="1" t="shared" si="16"/>
        <v>#REF!</v>
      </c>
      <c r="K173" s="139"/>
      <c r="L173" s="139"/>
      <c r="M173" s="215" t="s">
        <v>23</v>
      </c>
    </row>
    <row r="174" ht="21.75" customHeight="1" spans="1:15">
      <c r="A174" s="122">
        <v>172</v>
      </c>
      <c r="B174" s="141" t="s">
        <v>391</v>
      </c>
      <c r="C174" s="141" t="s">
        <v>25</v>
      </c>
      <c r="D174" s="137" t="s">
        <v>47</v>
      </c>
      <c r="E174" s="137" t="s">
        <v>56</v>
      </c>
      <c r="F174" s="139" t="s">
        <v>21</v>
      </c>
      <c r="G174" s="184">
        <v>15117942072</v>
      </c>
      <c r="H174" s="140" t="e">
        <f>#REF!</f>
        <v>#REF!</v>
      </c>
      <c r="I174" s="142" t="e">
        <f t="shared" si="15"/>
        <v>#REF!</v>
      </c>
      <c r="J174" s="148" t="e">
        <f ca="1" t="shared" si="16"/>
        <v>#REF!</v>
      </c>
      <c r="K174" s="139"/>
      <c r="L174" s="139"/>
      <c r="M174" s="215" t="s">
        <v>23</v>
      </c>
    </row>
    <row r="175" s="94" customFormat="1" ht="21.75" customHeight="1" spans="1:15">
      <c r="A175" s="122">
        <v>173</v>
      </c>
      <c r="B175" s="141" t="s">
        <v>392</v>
      </c>
      <c r="C175" s="137" t="s">
        <v>36</v>
      </c>
      <c r="D175" s="137" t="s">
        <v>86</v>
      </c>
      <c r="E175" s="137" t="s">
        <v>276</v>
      </c>
      <c r="F175" s="139" t="s">
        <v>227</v>
      </c>
      <c r="G175" s="276">
        <v>13524976151</v>
      </c>
      <c r="H175" s="140" t="e">
        <f>#REF!</f>
        <v>#REF!</v>
      </c>
      <c r="I175" s="142" t="e">
        <f t="shared" si="15"/>
        <v>#REF!</v>
      </c>
      <c r="J175" s="148" t="e">
        <f ca="1" t="shared" si="16"/>
        <v>#REF!</v>
      </c>
      <c r="K175" s="139"/>
      <c r="L175" s="139"/>
      <c r="M175" s="137"/>
    </row>
    <row r="176" s="94" customFormat="1" ht="21.75" customHeight="1" spans="1:15">
      <c r="A176" s="122">
        <v>174</v>
      </c>
      <c r="B176" s="141" t="s">
        <v>393</v>
      </c>
      <c r="C176" s="141" t="s">
        <v>78</v>
      </c>
      <c r="D176" s="137" t="s">
        <v>218</v>
      </c>
      <c r="E176" s="137" t="s">
        <v>219</v>
      </c>
      <c r="F176" s="139" t="s">
        <v>227</v>
      </c>
      <c r="G176" s="276">
        <v>18017088669</v>
      </c>
      <c r="H176" s="140" t="e">
        <f>#REF!</f>
        <v>#REF!</v>
      </c>
      <c r="I176" s="142" t="e">
        <f t="shared" si="15"/>
        <v>#REF!</v>
      </c>
      <c r="J176" s="148" t="e">
        <f ca="1" t="shared" si="16"/>
        <v>#REF!</v>
      </c>
      <c r="K176" s="139"/>
      <c r="L176" s="139"/>
      <c r="M176" s="137"/>
    </row>
    <row r="177" ht="21.75" customHeight="1" spans="1:15">
      <c r="A177" s="122">
        <v>175</v>
      </c>
      <c r="B177" s="141" t="s">
        <v>394</v>
      </c>
      <c r="C177" s="141" t="s">
        <v>25</v>
      </c>
      <c r="D177" s="137" t="s">
        <v>114</v>
      </c>
      <c r="E177" s="137" t="s">
        <v>181</v>
      </c>
      <c r="F177" s="139" t="s">
        <v>21</v>
      </c>
      <c r="G177" s="184">
        <v>13220108631</v>
      </c>
      <c r="H177" s="140" t="e">
        <f>#REF!</f>
        <v>#REF!</v>
      </c>
      <c r="I177" s="142" t="e">
        <f t="shared" si="15"/>
        <v>#REF!</v>
      </c>
      <c r="J177" s="148" t="e">
        <f ca="1" t="shared" si="16"/>
        <v>#REF!</v>
      </c>
      <c r="K177" s="139"/>
      <c r="L177" s="139"/>
      <c r="M177" s="215"/>
    </row>
    <row r="178" ht="21.75" customHeight="1" spans="1:15">
      <c r="A178" s="122">
        <v>176</v>
      </c>
      <c r="B178" s="141" t="s">
        <v>395</v>
      </c>
      <c r="C178" s="141" t="s">
        <v>25</v>
      </c>
      <c r="D178" s="137" t="s">
        <v>26</v>
      </c>
      <c r="E178" s="137" t="s">
        <v>208</v>
      </c>
      <c r="F178" s="139" t="s">
        <v>21</v>
      </c>
      <c r="G178" s="184">
        <v>18610535357</v>
      </c>
      <c r="H178" s="140" t="e">
        <f>#REF!</f>
        <v>#REF!</v>
      </c>
      <c r="I178" s="142" t="e">
        <f t="shared" si="15"/>
        <v>#REF!</v>
      </c>
      <c r="J178" s="148" t="e">
        <f ca="1" t="shared" si="16"/>
        <v>#REF!</v>
      </c>
      <c r="K178" s="139"/>
      <c r="L178" s="139"/>
      <c r="M178" s="215" t="s">
        <v>23</v>
      </c>
    </row>
    <row r="179" ht="21.75" customHeight="1" spans="1:15">
      <c r="A179" s="122">
        <v>177</v>
      </c>
      <c r="B179" s="141" t="s">
        <v>396</v>
      </c>
      <c r="C179" s="141" t="s">
        <v>132</v>
      </c>
      <c r="D179" s="137" t="s">
        <v>133</v>
      </c>
      <c r="E179" s="137" t="s">
        <v>191</v>
      </c>
      <c r="F179" s="139" t="s">
        <v>21</v>
      </c>
      <c r="G179" s="184">
        <v>18601114269</v>
      </c>
      <c r="H179" s="140" t="e">
        <f>#REF!</f>
        <v>#REF!</v>
      </c>
      <c r="I179" s="142" t="e">
        <f t="shared" si="15"/>
        <v>#REF!</v>
      </c>
      <c r="J179" s="148" t="e">
        <f ca="1" t="shared" si="16"/>
        <v>#REF!</v>
      </c>
      <c r="K179" s="139"/>
      <c r="L179" s="139"/>
      <c r="M179" s="215" t="s">
        <v>23</v>
      </c>
    </row>
    <row r="180" ht="21.75" customHeight="1" spans="1:15">
      <c r="A180" s="122">
        <v>178</v>
      </c>
      <c r="B180" s="127" t="s">
        <v>397</v>
      </c>
      <c r="C180" s="127" t="s">
        <v>18</v>
      </c>
      <c r="D180" s="123" t="s">
        <v>44</v>
      </c>
      <c r="E180" s="137" t="s">
        <v>27</v>
      </c>
      <c r="F180" s="125" t="s">
        <v>21</v>
      </c>
      <c r="G180" s="176">
        <v>18813046091</v>
      </c>
      <c r="H180" s="126"/>
      <c r="I180" s="128"/>
      <c r="J180" s="135"/>
      <c r="K180" s="125"/>
      <c r="L180" s="125"/>
      <c r="M180" s="215"/>
    </row>
    <row r="181" s="94" customFormat="1" ht="21.75" customHeight="1" spans="1:15">
      <c r="A181" s="122">
        <v>179</v>
      </c>
      <c r="B181" s="141" t="s">
        <v>398</v>
      </c>
      <c r="C181" s="141" t="s">
        <v>78</v>
      </c>
      <c r="D181" s="137" t="s">
        <v>196</v>
      </c>
      <c r="E181" s="137" t="s">
        <v>219</v>
      </c>
      <c r="F181" s="139" t="s">
        <v>220</v>
      </c>
      <c r="G181" s="276">
        <v>18925255379</v>
      </c>
      <c r="H181" s="140" t="e">
        <f>#REF!</f>
        <v>#REF!</v>
      </c>
      <c r="I181" s="142" t="e">
        <f>EDATE(H181,36)-1</f>
        <v>#REF!</v>
      </c>
      <c r="J181" s="148" t="e">
        <f ca="1">ROUND(I181-NOW(),0)</f>
        <v>#REF!</v>
      </c>
      <c r="K181" s="139"/>
      <c r="L181" s="139"/>
      <c r="M181" s="137" t="s">
        <v>23</v>
      </c>
    </row>
    <row r="182" ht="21.75" customHeight="1" spans="1:15">
      <c r="A182" s="122">
        <v>180</v>
      </c>
      <c r="B182" s="141" t="s">
        <v>399</v>
      </c>
      <c r="C182" s="141" t="s">
        <v>25</v>
      </c>
      <c r="D182" s="137" t="s">
        <v>215</v>
      </c>
      <c r="E182" s="137" t="s">
        <v>400</v>
      </c>
      <c r="F182" s="139" t="s">
        <v>21</v>
      </c>
      <c r="G182" s="184">
        <v>13501079750</v>
      </c>
      <c r="H182" s="140" t="e">
        <f>#REF!</f>
        <v>#REF!</v>
      </c>
      <c r="I182" s="142" t="e">
        <f>EDATE(H182,36)-1</f>
        <v>#REF!</v>
      </c>
      <c r="J182" s="148" t="e">
        <f ca="1">ROUND(I182-NOW(),0)</f>
        <v>#REF!</v>
      </c>
      <c r="K182" s="139"/>
      <c r="L182" s="139"/>
      <c r="M182" s="215" t="s">
        <v>23</v>
      </c>
    </row>
    <row r="183" ht="21.75" customHeight="1" spans="1:15">
      <c r="A183" s="122">
        <v>181</v>
      </c>
      <c r="B183" s="141" t="s">
        <v>401</v>
      </c>
      <c r="C183" s="141" t="s">
        <v>18</v>
      </c>
      <c r="D183" s="137" t="s">
        <v>402</v>
      </c>
      <c r="E183" s="137" t="s">
        <v>276</v>
      </c>
      <c r="F183" s="139" t="s">
        <v>21</v>
      </c>
      <c r="G183" s="184">
        <v>13466598760</v>
      </c>
      <c r="H183" s="140" t="e">
        <f>#REF!</f>
        <v>#REF!</v>
      </c>
      <c r="I183" s="142" t="e">
        <f>EDATE(H183,36)-1</f>
        <v>#REF!</v>
      </c>
      <c r="J183" s="148" t="e">
        <f ca="1">ROUND(I183-NOW(),0)</f>
        <v>#REF!</v>
      </c>
      <c r="K183" s="139"/>
      <c r="L183" s="139"/>
      <c r="M183" s="215" t="s">
        <v>23</v>
      </c>
    </row>
    <row r="184" ht="21.75" customHeight="1" spans="1:15">
      <c r="A184" s="122">
        <v>182</v>
      </c>
      <c r="B184" s="141" t="s">
        <v>403</v>
      </c>
      <c r="C184" s="137" t="s">
        <v>78</v>
      </c>
      <c r="D184" s="137" t="s">
        <v>79</v>
      </c>
      <c r="E184" s="137" t="s">
        <v>404</v>
      </c>
      <c r="F184" s="139" t="s">
        <v>21</v>
      </c>
      <c r="G184" s="184">
        <v>15705428471</v>
      </c>
      <c r="H184" s="140" t="e">
        <f>#REF!</f>
        <v>#REF!</v>
      </c>
      <c r="I184" s="142" t="e">
        <f>EDATE(H184,36)-1</f>
        <v>#REF!</v>
      </c>
      <c r="J184" s="148" t="e">
        <f ca="1">ROUND(I184-NOW(),0)</f>
        <v>#REF!</v>
      </c>
      <c r="K184" s="139"/>
      <c r="L184" s="139"/>
      <c r="M184" s="215" t="s">
        <v>23</v>
      </c>
    </row>
    <row r="185" ht="21.75" customHeight="1" spans="1:15">
      <c r="A185" s="122">
        <v>183</v>
      </c>
      <c r="B185" s="127" t="s">
        <v>405</v>
      </c>
      <c r="C185" s="127" t="s">
        <v>18</v>
      </c>
      <c r="D185" s="123" t="s">
        <v>29</v>
      </c>
      <c r="E185" s="137" t="s">
        <v>27</v>
      </c>
      <c r="F185" s="125" t="s">
        <v>21</v>
      </c>
      <c r="G185" s="177">
        <v>13051312373</v>
      </c>
      <c r="H185" s="126"/>
      <c r="I185" s="128"/>
      <c r="J185" s="135"/>
      <c r="K185" s="125"/>
      <c r="L185" s="125"/>
      <c r="M185" s="215"/>
    </row>
    <row r="186" ht="21.75" customHeight="1" spans="1:15">
      <c r="A186" s="122">
        <v>184</v>
      </c>
      <c r="B186" s="270" t="s">
        <v>406</v>
      </c>
      <c r="C186" s="270" t="s">
        <v>18</v>
      </c>
      <c r="D186" s="272" t="s">
        <v>44</v>
      </c>
      <c r="E186" s="137" t="s">
        <v>27</v>
      </c>
      <c r="F186" s="272" t="s">
        <v>21</v>
      </c>
      <c r="G186" s="279">
        <v>18101358705</v>
      </c>
      <c r="H186" s="274"/>
      <c r="I186" s="274"/>
      <c r="J186" s="275"/>
      <c r="K186" s="272"/>
      <c r="L186" s="272" t="s">
        <v>271</v>
      </c>
      <c r="M186" s="215"/>
    </row>
    <row r="187" ht="21.75" customHeight="1" spans="1:15">
      <c r="A187" s="122">
        <v>185</v>
      </c>
      <c r="B187" s="141" t="s">
        <v>407</v>
      </c>
      <c r="C187" s="141" t="s">
        <v>72</v>
      </c>
      <c r="D187" s="137" t="s">
        <v>73</v>
      </c>
      <c r="E187" s="137" t="s">
        <v>219</v>
      </c>
      <c r="F187" s="139" t="s">
        <v>21</v>
      </c>
      <c r="G187" s="184">
        <v>15201652582</v>
      </c>
      <c r="H187" s="140" t="e">
        <f>#REF!</f>
        <v>#REF!</v>
      </c>
      <c r="I187" s="142" t="e">
        <f>EDATE(H187,36)-1</f>
        <v>#REF!</v>
      </c>
      <c r="J187" s="148" t="e">
        <f ca="1">ROUND(I187-NOW(),0)</f>
        <v>#REF!</v>
      </c>
      <c r="K187" s="139"/>
      <c r="L187" s="139"/>
      <c r="M187" s="215"/>
    </row>
    <row r="188" s="97" customFormat="1" ht="21.75" customHeight="1" spans="1:15">
      <c r="A188" s="122">
        <v>186</v>
      </c>
      <c r="B188" s="141" t="s">
        <v>408</v>
      </c>
      <c r="C188" s="141" t="s">
        <v>25</v>
      </c>
      <c r="D188" s="137" t="s">
        <v>114</v>
      </c>
      <c r="E188" s="137" t="s">
        <v>181</v>
      </c>
      <c r="F188" s="139" t="s">
        <v>21</v>
      </c>
      <c r="G188" s="185">
        <v>13693662135</v>
      </c>
      <c r="H188" s="140" t="e">
        <f>#REF!</f>
        <v>#REF!</v>
      </c>
      <c r="I188" s="142" t="e">
        <f>EDATE(H188,36)-1</f>
        <v>#REF!</v>
      </c>
      <c r="J188" s="148" t="e">
        <f ca="1">ROUND(I188-NOW(),0)</f>
        <v>#REF!</v>
      </c>
      <c r="K188" s="139"/>
      <c r="L188" s="139"/>
      <c r="M188" s="215" t="s">
        <v>23</v>
      </c>
      <c r="N188" s="261"/>
      <c r="O188" s="261"/>
    </row>
    <row r="189" s="97" customFormat="1" ht="21.75" customHeight="1" spans="1:15">
      <c r="A189" s="122">
        <v>187</v>
      </c>
      <c r="B189" s="141" t="s">
        <v>409</v>
      </c>
      <c r="C189" s="141" t="s">
        <v>25</v>
      </c>
      <c r="D189" s="137" t="s">
        <v>55</v>
      </c>
      <c r="E189" s="137" t="s">
        <v>56</v>
      </c>
      <c r="F189" s="139" t="s">
        <v>21</v>
      </c>
      <c r="G189" s="185">
        <v>18710292292</v>
      </c>
      <c r="H189" s="140" t="e">
        <f>#REF!</f>
        <v>#REF!</v>
      </c>
      <c r="I189" s="142" t="e">
        <f>EDATE(H189,36)-1</f>
        <v>#REF!</v>
      </c>
      <c r="J189" s="148" t="e">
        <f ca="1">ROUND(I189-NOW(),0)</f>
        <v>#REF!</v>
      </c>
      <c r="K189" s="139"/>
      <c r="L189" s="139"/>
      <c r="M189" s="215" t="s">
        <v>23</v>
      </c>
      <c r="N189" s="261"/>
      <c r="O189" s="261"/>
    </row>
    <row r="190" ht="21.75" customHeight="1" spans="1:15">
      <c r="A190" s="122">
        <v>188</v>
      </c>
      <c r="B190" s="141" t="s">
        <v>410</v>
      </c>
      <c r="C190" s="141" t="s">
        <v>61</v>
      </c>
      <c r="D190" s="137" t="s">
        <v>62</v>
      </c>
      <c r="E190" s="137" t="s">
        <v>213</v>
      </c>
      <c r="F190" s="139" t="s">
        <v>21</v>
      </c>
      <c r="G190" s="185">
        <v>13823152417</v>
      </c>
      <c r="H190" s="140" t="e">
        <f>#REF!</f>
        <v>#REF!</v>
      </c>
      <c r="I190" s="142" t="e">
        <f>EDATE(H190,36)-1</f>
        <v>#REF!</v>
      </c>
      <c r="J190" s="148" t="e">
        <f ca="1">ROUND(I190-NOW(),0)</f>
        <v>#REF!</v>
      </c>
      <c r="K190" s="139"/>
      <c r="L190" s="139"/>
      <c r="M190" s="215" t="s">
        <v>23</v>
      </c>
    </row>
    <row r="191" ht="21.75" customHeight="1" spans="1:15">
      <c r="A191" s="122">
        <v>189</v>
      </c>
      <c r="B191" s="127" t="s">
        <v>411</v>
      </c>
      <c r="C191" s="127" t="s">
        <v>18</v>
      </c>
      <c r="D191" s="123" t="s">
        <v>118</v>
      </c>
      <c r="E191" s="137" t="s">
        <v>27</v>
      </c>
      <c r="F191" s="125" t="s">
        <v>21</v>
      </c>
      <c r="G191" s="177">
        <v>17888802356</v>
      </c>
      <c r="H191" s="126"/>
      <c r="I191" s="128"/>
      <c r="J191" s="135"/>
      <c r="K191" s="125"/>
      <c r="L191" s="125"/>
      <c r="M191" s="215"/>
    </row>
    <row r="192" ht="21.75" customHeight="1" spans="1:15">
      <c r="A192" s="122">
        <v>190</v>
      </c>
      <c r="B192" s="141" t="s">
        <v>412</v>
      </c>
      <c r="C192" s="141" t="s">
        <v>25</v>
      </c>
      <c r="D192" s="137" t="s">
        <v>215</v>
      </c>
      <c r="E192" s="137" t="s">
        <v>413</v>
      </c>
      <c r="F192" s="139" t="s">
        <v>21</v>
      </c>
      <c r="G192" s="153">
        <v>18610034350</v>
      </c>
      <c r="H192" s="142">
        <v>42552</v>
      </c>
      <c r="I192" s="142">
        <v>43646</v>
      </c>
      <c r="J192" s="148">
        <f ca="1">ROUND(I192-NOW(),0)</f>
        <v>-2406</v>
      </c>
      <c r="K192" s="139"/>
      <c r="L192" s="139"/>
      <c r="M192" s="215" t="s">
        <v>23</v>
      </c>
    </row>
    <row r="193" ht="21.75" customHeight="1" spans="1:15">
      <c r="A193" s="122">
        <v>191</v>
      </c>
      <c r="B193" s="141" t="s">
        <v>414</v>
      </c>
      <c r="C193" s="141" t="s">
        <v>61</v>
      </c>
      <c r="D193" s="137" t="s">
        <v>62</v>
      </c>
      <c r="E193" s="137" t="s">
        <v>415</v>
      </c>
      <c r="F193" s="139" t="s">
        <v>21</v>
      </c>
      <c r="G193" s="143">
        <v>18611333671</v>
      </c>
      <c r="H193" s="142" t="e">
        <f>#REF!</f>
        <v>#REF!</v>
      </c>
      <c r="I193" s="142" t="e">
        <f>EDATE(H193,36)-1</f>
        <v>#REF!</v>
      </c>
      <c r="J193" s="148" t="e">
        <f ca="1">ROUND(I193-NOW(),0)</f>
        <v>#REF!</v>
      </c>
      <c r="K193" s="139"/>
      <c r="L193" s="139"/>
      <c r="M193" s="215" t="s">
        <v>23</v>
      </c>
    </row>
    <row r="194" ht="21.75" customHeight="1" spans="1:15">
      <c r="A194" s="122">
        <v>192</v>
      </c>
      <c r="B194" s="141" t="s">
        <v>416</v>
      </c>
      <c r="C194" s="141" t="s">
        <v>18</v>
      </c>
      <c r="D194" s="137" t="s">
        <v>29</v>
      </c>
      <c r="E194" s="137" t="s">
        <v>119</v>
      </c>
      <c r="F194" s="139" t="s">
        <v>21</v>
      </c>
      <c r="G194" s="143">
        <v>13718391545</v>
      </c>
      <c r="H194" s="142">
        <v>42819</v>
      </c>
      <c r="I194" s="142">
        <f>EDATE(H194,36)-1</f>
        <v>43914</v>
      </c>
      <c r="J194" s="148">
        <f ca="1">ROUND(I194-NOW(),0)</f>
        <v>-2138</v>
      </c>
      <c r="K194" s="139"/>
      <c r="L194" s="139" t="s">
        <v>417</v>
      </c>
      <c r="M194" s="215"/>
    </row>
    <row r="195" ht="21.75" customHeight="1" spans="1:15">
      <c r="A195" s="122">
        <v>193</v>
      </c>
      <c r="B195" s="127" t="s">
        <v>418</v>
      </c>
      <c r="C195" s="123" t="s">
        <v>132</v>
      </c>
      <c r="D195" s="123" t="s">
        <v>133</v>
      </c>
      <c r="E195" s="137" t="s">
        <v>27</v>
      </c>
      <c r="F195" s="125" t="s">
        <v>21</v>
      </c>
      <c r="G195" s="177">
        <v>18612117986</v>
      </c>
      <c r="H195" s="126"/>
      <c r="I195" s="128"/>
      <c r="J195" s="135"/>
      <c r="K195" s="125"/>
      <c r="L195" s="125"/>
      <c r="M195" s="215"/>
    </row>
    <row r="196" ht="21.75" customHeight="1" spans="1:15">
      <c r="A196" s="122">
        <v>194</v>
      </c>
      <c r="B196" s="270" t="s">
        <v>419</v>
      </c>
      <c r="C196" s="270" t="s">
        <v>25</v>
      </c>
      <c r="D196" s="270" t="s">
        <v>55</v>
      </c>
      <c r="E196" s="137" t="s">
        <v>27</v>
      </c>
      <c r="F196" s="272" t="s">
        <v>21</v>
      </c>
      <c r="G196" s="279">
        <v>15101638393</v>
      </c>
      <c r="H196" s="274"/>
      <c r="I196" s="274"/>
      <c r="J196" s="275"/>
      <c r="K196" s="272"/>
      <c r="L196" s="272" t="s">
        <v>420</v>
      </c>
      <c r="M196" s="215"/>
    </row>
    <row r="197" ht="21.75" customHeight="1" spans="1:15">
      <c r="A197" s="122">
        <v>195</v>
      </c>
      <c r="B197" s="127" t="s">
        <v>421</v>
      </c>
      <c r="C197" s="127" t="s">
        <v>18</v>
      </c>
      <c r="D197" s="123" t="s">
        <v>44</v>
      </c>
      <c r="E197" s="137" t="s">
        <v>27</v>
      </c>
      <c r="F197" s="125" t="s">
        <v>21</v>
      </c>
      <c r="G197" s="177">
        <v>13817806094</v>
      </c>
      <c r="H197" s="126"/>
      <c r="I197" s="128" t="s">
        <v>422</v>
      </c>
      <c r="J197" s="135"/>
      <c r="K197" s="125"/>
      <c r="L197" s="125"/>
      <c r="M197" s="215"/>
    </row>
    <row r="198" s="94" customFormat="1" ht="21.75" customHeight="1" spans="1:15">
      <c r="A198" s="122">
        <v>196</v>
      </c>
      <c r="B198" s="141" t="s">
        <v>423</v>
      </c>
      <c r="C198" s="137" t="s">
        <v>36</v>
      </c>
      <c r="D198" s="137" t="s">
        <v>86</v>
      </c>
      <c r="E198" s="137" t="s">
        <v>87</v>
      </c>
      <c r="F198" s="139" t="s">
        <v>137</v>
      </c>
      <c r="G198" s="276">
        <v>18651636723</v>
      </c>
      <c r="H198" s="140">
        <v>42555</v>
      </c>
      <c r="I198" s="142">
        <v>43315</v>
      </c>
      <c r="J198" s="148">
        <f ca="1">ROUND(I198-NOW(),0)</f>
        <v>-2737</v>
      </c>
      <c r="K198" s="139"/>
      <c r="L198" s="139"/>
      <c r="M198" s="137"/>
    </row>
    <row r="199" ht="21.75" customHeight="1" spans="1:15">
      <c r="A199" s="122">
        <v>197</v>
      </c>
      <c r="B199" s="141" t="s">
        <v>424</v>
      </c>
      <c r="C199" s="141" t="s">
        <v>25</v>
      </c>
      <c r="D199" s="137" t="s">
        <v>289</v>
      </c>
      <c r="E199" s="137" t="s">
        <v>87</v>
      </c>
      <c r="F199" s="139" t="s">
        <v>21</v>
      </c>
      <c r="G199" s="185">
        <v>18518710585</v>
      </c>
      <c r="H199" s="140" t="e">
        <f>#REF!</f>
        <v>#REF!</v>
      </c>
      <c r="I199" s="142" t="e">
        <f>EDATE(H199,36)-1</f>
        <v>#REF!</v>
      </c>
      <c r="J199" s="148" t="e">
        <f ca="1">ROUND(I199-NOW(),0)</f>
        <v>#REF!</v>
      </c>
      <c r="K199" s="139"/>
      <c r="L199" s="139"/>
      <c r="M199" s="215" t="s">
        <v>23</v>
      </c>
    </row>
    <row r="200" ht="21.75" customHeight="1" spans="1:15">
      <c r="A200" s="122">
        <v>198</v>
      </c>
      <c r="B200" s="127" t="s">
        <v>425</v>
      </c>
      <c r="C200" s="127" t="s">
        <v>18</v>
      </c>
      <c r="D200" s="123" t="s">
        <v>118</v>
      </c>
      <c r="E200" s="137" t="s">
        <v>27</v>
      </c>
      <c r="F200" s="125" t="s">
        <v>21</v>
      </c>
      <c r="G200" s="177">
        <v>18810998996</v>
      </c>
      <c r="H200" s="126"/>
      <c r="I200" s="128"/>
      <c r="J200" s="135"/>
      <c r="K200" s="125"/>
      <c r="L200" s="125"/>
      <c r="M200" s="215"/>
    </row>
    <row r="201" ht="21.75" customHeight="1" spans="1:15">
      <c r="A201" s="122">
        <v>199</v>
      </c>
      <c r="B201" s="270" t="s">
        <v>426</v>
      </c>
      <c r="C201" s="270" t="s">
        <v>25</v>
      </c>
      <c r="D201" s="272" t="s">
        <v>26</v>
      </c>
      <c r="E201" s="137" t="s">
        <v>27</v>
      </c>
      <c r="F201" s="272" t="s">
        <v>21</v>
      </c>
      <c r="G201" s="279">
        <v>18811458936</v>
      </c>
      <c r="H201" s="274"/>
      <c r="I201" s="274"/>
      <c r="J201" s="275"/>
      <c r="K201" s="272"/>
      <c r="L201" s="272" t="s">
        <v>427</v>
      </c>
      <c r="M201" s="215"/>
    </row>
    <row r="202" ht="21.75" customHeight="1" spans="1:15">
      <c r="A202" s="122">
        <v>200</v>
      </c>
      <c r="B202" s="141" t="s">
        <v>428</v>
      </c>
      <c r="C202" s="141" t="s">
        <v>25</v>
      </c>
      <c r="D202" s="137" t="s">
        <v>55</v>
      </c>
      <c r="E202" s="137" t="s">
        <v>56</v>
      </c>
      <c r="F202" s="139" t="s">
        <v>21</v>
      </c>
      <c r="G202" s="185">
        <v>13391552195</v>
      </c>
      <c r="H202" s="140">
        <v>42563</v>
      </c>
      <c r="I202" s="142">
        <f>EDATE(H202,36)-1</f>
        <v>43657</v>
      </c>
      <c r="J202" s="148">
        <f ca="1">ROUND(I202-NOW(),0)</f>
        <v>-2395</v>
      </c>
      <c r="K202" s="139"/>
      <c r="L202" s="139" t="s">
        <v>429</v>
      </c>
      <c r="M202" s="215" t="s">
        <v>23</v>
      </c>
    </row>
    <row r="203" ht="21.75" customHeight="1" spans="1:15">
      <c r="A203" s="122">
        <v>201</v>
      </c>
      <c r="B203" s="127" t="s">
        <v>430</v>
      </c>
      <c r="C203" s="127" t="s">
        <v>18</v>
      </c>
      <c r="D203" s="123" t="s">
        <v>91</v>
      </c>
      <c r="E203" s="137" t="s">
        <v>27</v>
      </c>
      <c r="F203" s="125" t="s">
        <v>21</v>
      </c>
      <c r="G203" s="177">
        <v>13261765730</v>
      </c>
      <c r="H203" s="126"/>
      <c r="I203" s="128"/>
      <c r="J203" s="135"/>
      <c r="K203" s="125"/>
      <c r="L203" s="125"/>
      <c r="M203" s="215"/>
    </row>
    <row r="204" ht="21.75" customHeight="1" spans="1:15">
      <c r="A204" s="122">
        <v>202</v>
      </c>
      <c r="B204" s="127" t="s">
        <v>431</v>
      </c>
      <c r="C204" s="127" t="s">
        <v>18</v>
      </c>
      <c r="D204" s="123" t="s">
        <v>44</v>
      </c>
      <c r="E204" s="137" t="s">
        <v>27</v>
      </c>
      <c r="F204" s="125" t="s">
        <v>21</v>
      </c>
      <c r="G204" s="177">
        <v>15311473253</v>
      </c>
      <c r="H204" s="126"/>
      <c r="I204" s="128"/>
      <c r="J204" s="135"/>
      <c r="K204" s="125"/>
      <c r="L204" s="125"/>
      <c r="M204" s="215"/>
    </row>
    <row r="205" ht="21.75" customHeight="1" spans="1:15">
      <c r="A205" s="122">
        <v>203</v>
      </c>
      <c r="B205" s="127" t="s">
        <v>432</v>
      </c>
      <c r="C205" s="127" t="s">
        <v>18</v>
      </c>
      <c r="D205" s="123" t="s">
        <v>433</v>
      </c>
      <c r="E205" s="137" t="s">
        <v>27</v>
      </c>
      <c r="F205" s="125" t="s">
        <v>21</v>
      </c>
      <c r="G205" s="177">
        <v>13391815508</v>
      </c>
      <c r="H205" s="126"/>
      <c r="I205" s="128"/>
      <c r="J205" s="135"/>
      <c r="K205" s="125"/>
      <c r="L205" s="125"/>
      <c r="M205" s="215"/>
    </row>
    <row r="206" ht="21.75" customHeight="1" spans="1:15">
      <c r="A206" s="122">
        <v>204</v>
      </c>
      <c r="B206" s="270" t="s">
        <v>434</v>
      </c>
      <c r="C206" s="270" t="s">
        <v>18</v>
      </c>
      <c r="D206" s="272" t="s">
        <v>29</v>
      </c>
      <c r="E206" s="137" t="s">
        <v>27</v>
      </c>
      <c r="F206" s="272" t="s">
        <v>21</v>
      </c>
      <c r="G206" s="279">
        <v>13136553543</v>
      </c>
      <c r="H206" s="274"/>
      <c r="I206" s="274"/>
      <c r="J206" s="275"/>
      <c r="K206" s="272"/>
      <c r="L206" s="272" t="s">
        <v>435</v>
      </c>
      <c r="M206" s="215"/>
    </row>
    <row r="207" ht="21.75" customHeight="1" spans="1:15">
      <c r="A207" s="122">
        <v>205</v>
      </c>
      <c r="B207" s="270" t="s">
        <v>436</v>
      </c>
      <c r="C207" s="270" t="s">
        <v>18</v>
      </c>
      <c r="D207" s="272" t="s">
        <v>437</v>
      </c>
      <c r="E207" s="137" t="s">
        <v>27</v>
      </c>
      <c r="F207" s="272" t="s">
        <v>21</v>
      </c>
      <c r="G207" s="277">
        <v>18702937918</v>
      </c>
      <c r="H207" s="274"/>
      <c r="I207" s="274"/>
      <c r="J207" s="275"/>
      <c r="K207" s="272"/>
      <c r="L207" s="272" t="s">
        <v>438</v>
      </c>
      <c r="M207" s="215"/>
    </row>
    <row r="208" ht="21.75" customHeight="1" spans="1:15">
      <c r="A208" s="122">
        <v>206</v>
      </c>
      <c r="B208" s="141" t="s">
        <v>439</v>
      </c>
      <c r="C208" s="141" t="s">
        <v>61</v>
      </c>
      <c r="D208" s="137" t="s">
        <v>101</v>
      </c>
      <c r="E208" s="137" t="s">
        <v>440</v>
      </c>
      <c r="F208" s="139" t="s">
        <v>227</v>
      </c>
      <c r="G208" s="251" t="s">
        <v>441</v>
      </c>
      <c r="H208" s="142">
        <v>42569</v>
      </c>
      <c r="I208" s="142">
        <v>43298</v>
      </c>
      <c r="J208" s="148">
        <f ca="1">ROUND(I208-NOW(),0)</f>
        <v>-2754</v>
      </c>
      <c r="K208" s="139"/>
      <c r="L208" s="139"/>
      <c r="M208" s="137" t="s">
        <v>23</v>
      </c>
      <c r="N208" s="94"/>
      <c r="O208" s="94"/>
    </row>
    <row r="209" s="94" customFormat="1" ht="21.75" customHeight="1" spans="1:15">
      <c r="A209" s="122">
        <v>207</v>
      </c>
      <c r="B209" s="141" t="s">
        <v>442</v>
      </c>
      <c r="C209" s="141" t="s">
        <v>18</v>
      </c>
      <c r="D209" s="137" t="s">
        <v>18</v>
      </c>
      <c r="E209" s="137" t="s">
        <v>443</v>
      </c>
      <c r="F209" s="139" t="s">
        <v>21</v>
      </c>
      <c r="G209" s="153">
        <v>18601245367</v>
      </c>
      <c r="H209" s="142">
        <v>42569</v>
      </c>
      <c r="I209" s="142">
        <f>EDATE(H209,36)-1</f>
        <v>43663</v>
      </c>
      <c r="J209" s="148">
        <f ca="1">ROUND(I209-NOW(),0)</f>
        <v>-2389</v>
      </c>
      <c r="K209" s="139"/>
      <c r="L209" s="139"/>
      <c r="M209" s="215" t="s">
        <v>23</v>
      </c>
      <c r="N209" s="261"/>
      <c r="O209" s="261"/>
    </row>
    <row r="210" ht="21.75" customHeight="1" spans="1:15">
      <c r="A210" s="122">
        <v>208</v>
      </c>
      <c r="B210" s="270" t="s">
        <v>444</v>
      </c>
      <c r="C210" s="270" t="s">
        <v>18</v>
      </c>
      <c r="D210" s="272" t="s">
        <v>437</v>
      </c>
      <c r="E210" s="137" t="s">
        <v>27</v>
      </c>
      <c r="F210" s="272" t="s">
        <v>21</v>
      </c>
      <c r="G210" s="277">
        <v>15600624747</v>
      </c>
      <c r="H210" s="274"/>
      <c r="I210" s="274"/>
      <c r="J210" s="275"/>
      <c r="K210" s="272"/>
      <c r="L210" s="272" t="s">
        <v>438</v>
      </c>
      <c r="M210" s="215"/>
    </row>
    <row r="211" ht="21.75" customHeight="1" spans="1:15">
      <c r="A211" s="122">
        <v>209</v>
      </c>
      <c r="B211" s="141" t="s">
        <v>445</v>
      </c>
      <c r="C211" s="141" t="s">
        <v>25</v>
      </c>
      <c r="D211" s="137" t="s">
        <v>289</v>
      </c>
      <c r="E211" s="137" t="s">
        <v>97</v>
      </c>
      <c r="F211" s="139" t="s">
        <v>21</v>
      </c>
      <c r="G211" s="185">
        <v>15010069409</v>
      </c>
      <c r="H211" s="140">
        <v>42572</v>
      </c>
      <c r="I211" s="142">
        <f t="shared" ref="I211:I218" si="17">EDATE(H211,36)-1</f>
        <v>43666</v>
      </c>
      <c r="J211" s="148">
        <f ca="1" t="shared" ref="J211:J222" si="18">ROUND(I211-NOW(),0)</f>
        <v>-2386</v>
      </c>
      <c r="K211" s="139"/>
      <c r="L211" s="139"/>
      <c r="M211" s="215" t="s">
        <v>23</v>
      </c>
    </row>
    <row r="212" ht="21.75" customHeight="1" spans="1:15">
      <c r="A212" s="122">
        <v>210</v>
      </c>
      <c r="B212" s="141" t="s">
        <v>446</v>
      </c>
      <c r="C212" s="141" t="s">
        <v>78</v>
      </c>
      <c r="D212" s="137" t="s">
        <v>196</v>
      </c>
      <c r="E212" s="137" t="s">
        <v>287</v>
      </c>
      <c r="F212" s="139" t="s">
        <v>21</v>
      </c>
      <c r="G212" s="185">
        <v>13810385366</v>
      </c>
      <c r="H212" s="140">
        <v>42572</v>
      </c>
      <c r="I212" s="142">
        <f t="shared" si="17"/>
        <v>43666</v>
      </c>
      <c r="J212" s="148">
        <f ca="1" t="shared" si="18"/>
        <v>-2386</v>
      </c>
      <c r="K212" s="139"/>
      <c r="L212" s="139"/>
      <c r="M212" s="215" t="s">
        <v>23</v>
      </c>
    </row>
    <row r="213" ht="21.75" customHeight="1" spans="1:15">
      <c r="A213" s="122">
        <v>211</v>
      </c>
      <c r="B213" s="141" t="s">
        <v>447</v>
      </c>
      <c r="C213" s="141" t="s">
        <v>25</v>
      </c>
      <c r="D213" s="139" t="s">
        <v>215</v>
      </c>
      <c r="E213" s="137" t="s">
        <v>97</v>
      </c>
      <c r="F213" s="139" t="s">
        <v>21</v>
      </c>
      <c r="G213" s="149">
        <v>18610937091</v>
      </c>
      <c r="H213" s="142">
        <v>42576</v>
      </c>
      <c r="I213" s="142">
        <f t="shared" si="17"/>
        <v>43670</v>
      </c>
      <c r="J213" s="148">
        <f ca="1" t="shared" si="18"/>
        <v>-2382</v>
      </c>
      <c r="K213" s="139"/>
      <c r="L213" s="139"/>
      <c r="M213" s="215" t="s">
        <v>23</v>
      </c>
      <c r="N213" s="97"/>
      <c r="O213" s="97"/>
    </row>
    <row r="214" ht="21.75" customHeight="1" spans="1:15">
      <c r="A214" s="122">
        <v>212</v>
      </c>
      <c r="B214" s="141" t="s">
        <v>448</v>
      </c>
      <c r="C214" s="141" t="s">
        <v>18</v>
      </c>
      <c r="D214" s="137" t="s">
        <v>260</v>
      </c>
      <c r="E214" s="137" t="s">
        <v>65</v>
      </c>
      <c r="F214" s="139" t="s">
        <v>21</v>
      </c>
      <c r="G214" s="153">
        <v>17706139815</v>
      </c>
      <c r="H214" s="142">
        <v>42578</v>
      </c>
      <c r="I214" s="142">
        <f t="shared" si="17"/>
        <v>43672</v>
      </c>
      <c r="J214" s="148">
        <f ca="1" t="shared" si="18"/>
        <v>-2380</v>
      </c>
      <c r="K214" s="139"/>
      <c r="L214" s="139"/>
      <c r="M214" s="215" t="s">
        <v>23</v>
      </c>
    </row>
    <row r="215" ht="21.75" customHeight="1" spans="1:15">
      <c r="A215" s="122">
        <v>213</v>
      </c>
      <c r="B215" s="141" t="s">
        <v>449</v>
      </c>
      <c r="C215" s="141" t="s">
        <v>25</v>
      </c>
      <c r="D215" s="137" t="s">
        <v>215</v>
      </c>
      <c r="E215" s="137" t="s">
        <v>97</v>
      </c>
      <c r="F215" s="139" t="s">
        <v>21</v>
      </c>
      <c r="G215" s="153">
        <v>13581722133</v>
      </c>
      <c r="H215" s="142">
        <v>42583</v>
      </c>
      <c r="I215" s="142">
        <f t="shared" si="17"/>
        <v>43677</v>
      </c>
      <c r="J215" s="148">
        <f ca="1" t="shared" si="18"/>
        <v>-2375</v>
      </c>
      <c r="K215" s="139"/>
      <c r="L215" s="139"/>
      <c r="M215" s="215" t="s">
        <v>23</v>
      </c>
    </row>
    <row r="216" ht="21.75" customHeight="1" spans="1:15">
      <c r="A216" s="122">
        <v>214</v>
      </c>
      <c r="B216" s="141" t="s">
        <v>450</v>
      </c>
      <c r="C216" s="137" t="s">
        <v>224</v>
      </c>
      <c r="D216" s="137" t="s">
        <v>225</v>
      </c>
      <c r="E216" s="137" t="s">
        <v>451</v>
      </c>
      <c r="F216" s="139" t="s">
        <v>21</v>
      </c>
      <c r="G216" s="153">
        <v>18612703036</v>
      </c>
      <c r="H216" s="142">
        <v>42583</v>
      </c>
      <c r="I216" s="142">
        <f t="shared" si="17"/>
        <v>43677</v>
      </c>
      <c r="J216" s="148">
        <f ca="1" t="shared" si="18"/>
        <v>-2375</v>
      </c>
      <c r="K216" s="139"/>
      <c r="L216" s="139"/>
      <c r="M216" s="215" t="s">
        <v>23</v>
      </c>
    </row>
    <row r="217" ht="21.75" customHeight="1" spans="1:15">
      <c r="A217" s="122">
        <v>215</v>
      </c>
      <c r="B217" s="141" t="s">
        <v>452</v>
      </c>
      <c r="C217" s="141" t="s">
        <v>36</v>
      </c>
      <c r="D217" s="137" t="s">
        <v>145</v>
      </c>
      <c r="E217" s="137" t="s">
        <v>453</v>
      </c>
      <c r="F217" s="139" t="s">
        <v>21</v>
      </c>
      <c r="G217" s="153">
        <v>13911164698</v>
      </c>
      <c r="H217" s="142">
        <v>42583</v>
      </c>
      <c r="I217" s="142">
        <f t="shared" si="17"/>
        <v>43677</v>
      </c>
      <c r="J217" s="148">
        <f ca="1" t="shared" si="18"/>
        <v>-2375</v>
      </c>
      <c r="K217" s="139"/>
      <c r="L217" s="139"/>
      <c r="M217" s="215" t="s">
        <v>23</v>
      </c>
    </row>
    <row r="218" ht="21.75" customHeight="1" spans="1:15">
      <c r="A218" s="122">
        <v>217</v>
      </c>
      <c r="B218" s="141" t="s">
        <v>454</v>
      </c>
      <c r="C218" s="141" t="s">
        <v>52</v>
      </c>
      <c r="D218" s="141" t="s">
        <v>194</v>
      </c>
      <c r="E218" s="137" t="s">
        <v>48</v>
      </c>
      <c r="F218" s="139" t="s">
        <v>21</v>
      </c>
      <c r="G218" s="153">
        <v>13811211321</v>
      </c>
      <c r="H218" s="142">
        <v>42590</v>
      </c>
      <c r="I218" s="142">
        <f t="shared" si="17"/>
        <v>43684</v>
      </c>
      <c r="J218" s="148">
        <f ca="1" t="shared" si="18"/>
        <v>-2368</v>
      </c>
      <c r="K218" s="139"/>
      <c r="L218" s="139"/>
      <c r="M218" s="215" t="s">
        <v>23</v>
      </c>
    </row>
    <row r="219" s="94" customFormat="1" ht="21.75" customHeight="1" spans="1:15">
      <c r="A219" s="122">
        <v>218</v>
      </c>
      <c r="B219" s="141" t="s">
        <v>455</v>
      </c>
      <c r="C219" s="141" t="s">
        <v>36</v>
      </c>
      <c r="D219" s="137" t="s">
        <v>86</v>
      </c>
      <c r="E219" s="137" t="s">
        <v>153</v>
      </c>
      <c r="F219" s="139" t="s">
        <v>137</v>
      </c>
      <c r="G219" s="251">
        <v>15061530019</v>
      </c>
      <c r="H219" s="142">
        <v>42590</v>
      </c>
      <c r="I219" s="142">
        <v>43684</v>
      </c>
      <c r="J219" s="148">
        <f ca="1" t="shared" si="18"/>
        <v>-2368</v>
      </c>
      <c r="K219" s="139"/>
      <c r="L219" s="139"/>
      <c r="M219" s="137" t="s">
        <v>23</v>
      </c>
    </row>
    <row r="220" ht="21.75" customHeight="1" spans="1:15">
      <c r="A220" s="122">
        <v>219</v>
      </c>
      <c r="B220" s="141" t="s">
        <v>456</v>
      </c>
      <c r="C220" s="141" t="s">
        <v>25</v>
      </c>
      <c r="D220" s="137" t="s">
        <v>289</v>
      </c>
      <c r="E220" s="137" t="s">
        <v>87</v>
      </c>
      <c r="F220" s="139" t="s">
        <v>21</v>
      </c>
      <c r="G220" s="153">
        <v>18210445271</v>
      </c>
      <c r="H220" s="142">
        <v>42597</v>
      </c>
      <c r="I220" s="142">
        <f>EDATE(H220,36)-1</f>
        <v>43691</v>
      </c>
      <c r="J220" s="148">
        <f ca="1" t="shared" si="18"/>
        <v>-2361</v>
      </c>
      <c r="K220" s="139"/>
      <c r="L220" s="139"/>
      <c r="M220" s="215" t="s">
        <v>23</v>
      </c>
    </row>
    <row r="221" ht="21.75" customHeight="1" spans="1:15">
      <c r="A221" s="122">
        <v>220</v>
      </c>
      <c r="B221" s="141" t="s">
        <v>457</v>
      </c>
      <c r="C221" s="141" t="s">
        <v>52</v>
      </c>
      <c r="D221" s="137" t="s">
        <v>133</v>
      </c>
      <c r="E221" s="137" t="s">
        <v>65</v>
      </c>
      <c r="F221" s="139" t="s">
        <v>21</v>
      </c>
      <c r="G221" s="153">
        <v>15811353206</v>
      </c>
      <c r="H221" s="142">
        <v>42597</v>
      </c>
      <c r="I221" s="142">
        <f>EDATE(H221,36)-1</f>
        <v>43691</v>
      </c>
      <c r="J221" s="148">
        <f ca="1" t="shared" si="18"/>
        <v>-2361</v>
      </c>
      <c r="K221" s="139"/>
      <c r="L221" s="139" t="s">
        <v>357</v>
      </c>
      <c r="M221" s="215" t="s">
        <v>23</v>
      </c>
    </row>
    <row r="222" s="94" customFormat="1" ht="21.75" customHeight="1" spans="1:15">
      <c r="A222" s="122">
        <v>221</v>
      </c>
      <c r="B222" s="141" t="s">
        <v>458</v>
      </c>
      <c r="C222" s="141" t="s">
        <v>36</v>
      </c>
      <c r="D222" s="137" t="s">
        <v>86</v>
      </c>
      <c r="E222" s="137" t="s">
        <v>459</v>
      </c>
      <c r="F222" s="139" t="s">
        <v>137</v>
      </c>
      <c r="G222" s="251">
        <v>13758212170</v>
      </c>
      <c r="H222" s="142">
        <v>42598</v>
      </c>
      <c r="I222" s="142">
        <v>43692</v>
      </c>
      <c r="J222" s="148">
        <f ca="1" t="shared" si="18"/>
        <v>-2360</v>
      </c>
      <c r="K222" s="139"/>
      <c r="L222" s="139"/>
      <c r="M222" s="137" t="s">
        <v>23</v>
      </c>
    </row>
    <row r="223" s="94" customFormat="1" ht="21.75" customHeight="1" spans="1:15">
      <c r="A223" s="122">
        <v>222</v>
      </c>
      <c r="B223" s="127" t="s">
        <v>460</v>
      </c>
      <c r="C223" s="127" t="s">
        <v>18</v>
      </c>
      <c r="D223" s="123" t="s">
        <v>58</v>
      </c>
      <c r="E223" s="123" t="s">
        <v>27</v>
      </c>
      <c r="F223" s="125" t="s">
        <v>21</v>
      </c>
      <c r="G223" s="177">
        <v>18813003106</v>
      </c>
      <c r="H223" s="126"/>
      <c r="I223" s="128"/>
      <c r="J223" s="135"/>
      <c r="K223" s="125"/>
      <c r="L223" s="125"/>
      <c r="M223" s="215"/>
      <c r="N223" s="261"/>
      <c r="O223" s="261"/>
    </row>
    <row r="224" s="94" customFormat="1" ht="21.75" customHeight="1" spans="1:15">
      <c r="A224" s="122">
        <v>223</v>
      </c>
      <c r="B224" s="141" t="s">
        <v>461</v>
      </c>
      <c r="C224" s="141" t="s">
        <v>36</v>
      </c>
      <c r="D224" s="137" t="s">
        <v>86</v>
      </c>
      <c r="E224" s="137" t="s">
        <v>462</v>
      </c>
      <c r="F224" s="139" t="s">
        <v>137</v>
      </c>
      <c r="G224" s="251">
        <v>15251757579</v>
      </c>
      <c r="H224" s="142">
        <v>42604</v>
      </c>
      <c r="I224" s="142">
        <v>43698</v>
      </c>
      <c r="J224" s="148">
        <f ca="1">ROUND(I224-NOW(),0)</f>
        <v>-2354</v>
      </c>
      <c r="K224" s="139"/>
      <c r="L224" s="139"/>
      <c r="M224" s="137" t="s">
        <v>23</v>
      </c>
    </row>
    <row r="225" ht="21.75" customHeight="1" spans="1:15">
      <c r="A225" s="122">
        <v>224</v>
      </c>
      <c r="B225" s="141" t="s">
        <v>463</v>
      </c>
      <c r="C225" s="141" t="s">
        <v>18</v>
      </c>
      <c r="D225" s="137" t="s">
        <v>260</v>
      </c>
      <c r="E225" s="137" t="s">
        <v>65</v>
      </c>
      <c r="F225" s="139" t="s">
        <v>21</v>
      </c>
      <c r="G225" s="153">
        <v>15710080815</v>
      </c>
      <c r="H225" s="142">
        <v>42608</v>
      </c>
      <c r="I225" s="142">
        <f>EDATE(H225,36)-1</f>
        <v>43702</v>
      </c>
      <c r="J225" s="148">
        <f ca="1">ROUND(I225-NOW(),0)</f>
        <v>-2350</v>
      </c>
      <c r="K225" s="139"/>
      <c r="L225" s="139"/>
      <c r="M225" s="215" t="s">
        <v>23</v>
      </c>
    </row>
    <row r="226" ht="21.75" customHeight="1" spans="1:15">
      <c r="A226" s="122">
        <v>225</v>
      </c>
      <c r="B226" s="141" t="s">
        <v>464</v>
      </c>
      <c r="C226" s="141" t="s">
        <v>36</v>
      </c>
      <c r="D226" s="137" t="s">
        <v>106</v>
      </c>
      <c r="E226" s="137" t="s">
        <v>465</v>
      </c>
      <c r="F226" s="139" t="s">
        <v>21</v>
      </c>
      <c r="G226" s="153">
        <v>18810945878</v>
      </c>
      <c r="H226" s="142">
        <v>42611</v>
      </c>
      <c r="I226" s="142">
        <f>EDATE(H226,36)-1</f>
        <v>43705</v>
      </c>
      <c r="J226" s="148">
        <f ca="1">ROUND(I226-NOW(),0)</f>
        <v>-2347</v>
      </c>
      <c r="K226" s="139"/>
      <c r="L226" s="139"/>
      <c r="M226" s="215" t="s">
        <v>23</v>
      </c>
    </row>
    <row r="227" ht="21.75" customHeight="1" spans="1:15">
      <c r="A227" s="122">
        <v>226</v>
      </c>
      <c r="B227" s="141" t="s">
        <v>466</v>
      </c>
      <c r="C227" s="141" t="s">
        <v>36</v>
      </c>
      <c r="D227" s="137" t="s">
        <v>86</v>
      </c>
      <c r="E227" s="137" t="s">
        <v>153</v>
      </c>
      <c r="F227" s="139" t="s">
        <v>137</v>
      </c>
      <c r="G227" s="251">
        <v>13701513788</v>
      </c>
      <c r="H227" s="142">
        <v>42611</v>
      </c>
      <c r="I227" s="142">
        <v>43705</v>
      </c>
      <c r="J227" s="148">
        <f ca="1">ROUND(I227-NOW(),0)</f>
        <v>-2347</v>
      </c>
      <c r="K227" s="139"/>
      <c r="L227" s="139"/>
      <c r="M227" s="137" t="s">
        <v>23</v>
      </c>
      <c r="N227" s="94"/>
      <c r="O227" s="94"/>
    </row>
    <row r="228" ht="21.75" customHeight="1" spans="1:15">
      <c r="A228" s="122">
        <v>227</v>
      </c>
      <c r="B228" s="127" t="s">
        <v>467</v>
      </c>
      <c r="C228" s="127" t="s">
        <v>18</v>
      </c>
      <c r="D228" s="123" t="s">
        <v>44</v>
      </c>
      <c r="E228" s="137" t="s">
        <v>27</v>
      </c>
      <c r="F228" s="125" t="s">
        <v>21</v>
      </c>
      <c r="G228" s="177">
        <v>18171298101</v>
      </c>
      <c r="H228" s="126"/>
      <c r="I228" s="128"/>
      <c r="J228" s="135"/>
      <c r="K228" s="125"/>
      <c r="L228" s="125"/>
      <c r="M228" s="215"/>
    </row>
    <row r="229" s="94" customFormat="1" ht="21.75" customHeight="1" spans="1:15">
      <c r="A229" s="122">
        <v>228</v>
      </c>
      <c r="B229" s="127" t="s">
        <v>468</v>
      </c>
      <c r="C229" s="127" t="s">
        <v>18</v>
      </c>
      <c r="D229" s="123" t="s">
        <v>58</v>
      </c>
      <c r="E229" s="137" t="s">
        <v>27</v>
      </c>
      <c r="F229" s="125" t="s">
        <v>21</v>
      </c>
      <c r="G229" s="177">
        <v>13051312930</v>
      </c>
      <c r="H229" s="126"/>
      <c r="I229" s="128"/>
      <c r="J229" s="135"/>
      <c r="K229" s="125"/>
      <c r="L229" s="125"/>
      <c r="M229" s="215"/>
      <c r="N229" s="261"/>
      <c r="O229" s="261"/>
    </row>
    <row r="230" ht="21.75" customHeight="1" spans="1:15">
      <c r="A230" s="122">
        <v>229</v>
      </c>
      <c r="B230" s="141" t="s">
        <v>469</v>
      </c>
      <c r="C230" s="141" t="s">
        <v>36</v>
      </c>
      <c r="D230" s="137" t="s">
        <v>470</v>
      </c>
      <c r="E230" s="137" t="s">
        <v>136</v>
      </c>
      <c r="F230" s="139" t="s">
        <v>21</v>
      </c>
      <c r="G230" s="153">
        <v>13810374870</v>
      </c>
      <c r="H230" s="142">
        <v>42614</v>
      </c>
      <c r="I230" s="142">
        <f t="shared" ref="I230:I236" si="19">EDATE(H230,36)-1</f>
        <v>43708</v>
      </c>
      <c r="J230" s="148">
        <f ca="1" t="shared" ref="J230:J236" si="20">ROUND(I230-NOW(),0)</f>
        <v>-2344</v>
      </c>
      <c r="K230" s="139"/>
      <c r="L230" s="139"/>
      <c r="M230" s="215" t="s">
        <v>23</v>
      </c>
    </row>
    <row r="231" ht="21.75" customHeight="1" spans="1:15">
      <c r="A231" s="122">
        <v>230</v>
      </c>
      <c r="B231" s="141" t="s">
        <v>471</v>
      </c>
      <c r="C231" s="141" t="s">
        <v>25</v>
      </c>
      <c r="D231" s="137" t="s">
        <v>114</v>
      </c>
      <c r="E231" s="137" t="s">
        <v>115</v>
      </c>
      <c r="F231" s="139" t="s">
        <v>21</v>
      </c>
      <c r="G231" s="153">
        <v>18600207717</v>
      </c>
      <c r="H231" s="142">
        <v>42614</v>
      </c>
      <c r="I231" s="142">
        <f t="shared" si="19"/>
        <v>43708</v>
      </c>
      <c r="J231" s="148">
        <f ca="1" t="shared" si="20"/>
        <v>-2344</v>
      </c>
      <c r="K231" s="139"/>
      <c r="L231" s="139"/>
      <c r="M231" s="215" t="s">
        <v>23</v>
      </c>
    </row>
    <row r="232" ht="21.75" customHeight="1" spans="1:15">
      <c r="A232" s="122">
        <v>231</v>
      </c>
      <c r="B232" s="141" t="s">
        <v>472</v>
      </c>
      <c r="C232" s="141" t="s">
        <v>36</v>
      </c>
      <c r="D232" s="137" t="s">
        <v>130</v>
      </c>
      <c r="E232" s="137" t="s">
        <v>181</v>
      </c>
      <c r="F232" s="139" t="s">
        <v>21</v>
      </c>
      <c r="G232" s="153">
        <v>13811918802</v>
      </c>
      <c r="H232" s="142">
        <v>42614</v>
      </c>
      <c r="I232" s="142">
        <f t="shared" si="19"/>
        <v>43708</v>
      </c>
      <c r="J232" s="148">
        <f ca="1" t="shared" si="20"/>
        <v>-2344</v>
      </c>
      <c r="K232" s="139"/>
      <c r="L232" s="139"/>
      <c r="M232" s="215" t="s">
        <v>23</v>
      </c>
    </row>
    <row r="233" ht="21.75" customHeight="1" spans="1:15">
      <c r="A233" s="122">
        <v>232</v>
      </c>
      <c r="B233" s="141" t="s">
        <v>473</v>
      </c>
      <c r="C233" s="141" t="s">
        <v>243</v>
      </c>
      <c r="D233" s="137" t="s">
        <v>243</v>
      </c>
      <c r="E233" s="137" t="s">
        <v>206</v>
      </c>
      <c r="F233" s="139" t="s">
        <v>21</v>
      </c>
      <c r="G233" s="153">
        <v>13466639261</v>
      </c>
      <c r="H233" s="142">
        <v>42644</v>
      </c>
      <c r="I233" s="142">
        <f t="shared" si="19"/>
        <v>43738</v>
      </c>
      <c r="J233" s="148">
        <f ca="1" t="shared" si="20"/>
        <v>-2314</v>
      </c>
      <c r="K233" s="139"/>
      <c r="L233" s="139"/>
      <c r="M233" s="215" t="s">
        <v>23</v>
      </c>
    </row>
    <row r="234" ht="21.75" customHeight="1" spans="1:15">
      <c r="A234" s="122">
        <v>233</v>
      </c>
      <c r="B234" s="141" t="s">
        <v>474</v>
      </c>
      <c r="C234" s="141" t="s">
        <v>25</v>
      </c>
      <c r="D234" s="137" t="s">
        <v>55</v>
      </c>
      <c r="E234" s="137" t="s">
        <v>107</v>
      </c>
      <c r="F234" s="139" t="s">
        <v>21</v>
      </c>
      <c r="G234" s="153">
        <v>18610350165</v>
      </c>
      <c r="H234" s="142">
        <v>42618</v>
      </c>
      <c r="I234" s="142">
        <f t="shared" si="19"/>
        <v>43712</v>
      </c>
      <c r="J234" s="148">
        <f ca="1" t="shared" si="20"/>
        <v>-2340</v>
      </c>
      <c r="K234" s="139"/>
      <c r="L234" s="139"/>
      <c r="M234" s="215" t="s">
        <v>23</v>
      </c>
    </row>
    <row r="235" s="94" customFormat="1" ht="21.75" customHeight="1" spans="1:15">
      <c r="A235" s="122">
        <v>234</v>
      </c>
      <c r="B235" s="141" t="s">
        <v>475</v>
      </c>
      <c r="C235" s="141" t="s">
        <v>72</v>
      </c>
      <c r="D235" s="137" t="s">
        <v>73</v>
      </c>
      <c r="E235" s="137" t="s">
        <v>219</v>
      </c>
      <c r="F235" s="139" t="s">
        <v>220</v>
      </c>
      <c r="G235" s="251">
        <v>18922189932</v>
      </c>
      <c r="H235" s="142">
        <v>42620</v>
      </c>
      <c r="I235" s="142">
        <f t="shared" si="19"/>
        <v>43714</v>
      </c>
      <c r="J235" s="148">
        <f ca="1" t="shared" si="20"/>
        <v>-2338</v>
      </c>
      <c r="K235" s="139"/>
      <c r="L235" s="139"/>
      <c r="M235" s="137"/>
    </row>
    <row r="236" ht="21.75" customHeight="1" spans="1:15">
      <c r="A236" s="122">
        <v>235</v>
      </c>
      <c r="B236" s="141" t="s">
        <v>476</v>
      </c>
      <c r="C236" s="141" t="s">
        <v>61</v>
      </c>
      <c r="D236" s="137" t="s">
        <v>61</v>
      </c>
      <c r="E236" s="137" t="s">
        <v>206</v>
      </c>
      <c r="F236" s="139" t="s">
        <v>21</v>
      </c>
      <c r="G236" s="153">
        <v>13801339353</v>
      </c>
      <c r="H236" s="142">
        <v>42625</v>
      </c>
      <c r="I236" s="142">
        <f t="shared" si="19"/>
        <v>43719</v>
      </c>
      <c r="J236" s="148">
        <f ca="1" t="shared" si="20"/>
        <v>-2333</v>
      </c>
      <c r="K236" s="139"/>
      <c r="L236" s="139"/>
      <c r="M236" s="215" t="s">
        <v>23</v>
      </c>
    </row>
    <row r="237" ht="21.75" customHeight="1" spans="1:15">
      <c r="A237" s="122">
        <v>236</v>
      </c>
      <c r="B237" s="127" t="s">
        <v>477</v>
      </c>
      <c r="C237" s="127" t="s">
        <v>61</v>
      </c>
      <c r="D237" s="123" t="s">
        <v>62</v>
      </c>
      <c r="E237" s="137" t="s">
        <v>27</v>
      </c>
      <c r="F237" s="125" t="s">
        <v>21</v>
      </c>
      <c r="G237" s="177">
        <v>15652369484</v>
      </c>
      <c r="H237" s="126"/>
      <c r="I237" s="135"/>
      <c r="J237" s="135"/>
      <c r="K237" s="125"/>
      <c r="L237" s="125" t="s">
        <v>478</v>
      </c>
      <c r="M237" s="215"/>
    </row>
    <row r="238" ht="21.75" customHeight="1" spans="1:15">
      <c r="A238" s="122">
        <v>237</v>
      </c>
      <c r="B238" s="127" t="s">
        <v>479</v>
      </c>
      <c r="C238" s="127" t="s">
        <v>480</v>
      </c>
      <c r="D238" s="123" t="s">
        <v>118</v>
      </c>
      <c r="E238" s="137" t="s">
        <v>27</v>
      </c>
      <c r="F238" s="125" t="s">
        <v>21</v>
      </c>
      <c r="G238" s="177">
        <v>18810918361</v>
      </c>
      <c r="H238" s="126"/>
      <c r="I238" s="135"/>
      <c r="J238" s="135"/>
      <c r="K238" s="125"/>
      <c r="L238" s="125"/>
      <c r="M238" s="215"/>
    </row>
    <row r="239" ht="21.75" customHeight="1" spans="1:15">
      <c r="A239" s="122">
        <v>238</v>
      </c>
      <c r="B239" s="127" t="s">
        <v>481</v>
      </c>
      <c r="C239" s="127" t="s">
        <v>480</v>
      </c>
      <c r="D239" s="123" t="s">
        <v>44</v>
      </c>
      <c r="E239" s="137" t="s">
        <v>27</v>
      </c>
      <c r="F239" s="125" t="s">
        <v>21</v>
      </c>
      <c r="G239" s="177">
        <v>13520320530</v>
      </c>
      <c r="H239" s="126"/>
      <c r="I239" s="135"/>
      <c r="J239" s="135"/>
      <c r="K239" s="125"/>
      <c r="L239" s="125"/>
      <c r="M239" s="215"/>
    </row>
    <row r="240" ht="21.75" customHeight="1" spans="1:15">
      <c r="A240" s="122">
        <v>239</v>
      </c>
      <c r="B240" s="127" t="s">
        <v>482</v>
      </c>
      <c r="C240" s="127" t="s">
        <v>480</v>
      </c>
      <c r="D240" s="123" t="s">
        <v>44</v>
      </c>
      <c r="E240" s="137" t="s">
        <v>27</v>
      </c>
      <c r="F240" s="125" t="s">
        <v>21</v>
      </c>
      <c r="G240" s="177">
        <v>18995111890</v>
      </c>
      <c r="H240" s="126"/>
      <c r="I240" s="135"/>
      <c r="J240" s="135"/>
      <c r="K240" s="125"/>
      <c r="L240" s="125"/>
      <c r="M240" s="215"/>
    </row>
    <row r="241" ht="21.75" customHeight="1" spans="1:13">
      <c r="A241" s="122">
        <v>240</v>
      </c>
      <c r="B241" s="141" t="s">
        <v>483</v>
      </c>
      <c r="C241" s="141" t="s">
        <v>25</v>
      </c>
      <c r="D241" s="137" t="s">
        <v>484</v>
      </c>
      <c r="E241" s="137" t="s">
        <v>362</v>
      </c>
      <c r="F241" s="139" t="s">
        <v>21</v>
      </c>
      <c r="G241" s="153">
        <v>13811960208</v>
      </c>
      <c r="H241" s="142">
        <v>42652</v>
      </c>
      <c r="I241" s="142">
        <f>EDATE(H241,36)-1</f>
        <v>43746</v>
      </c>
      <c r="J241" s="148">
        <f ca="1">ROUND(I241-NOW(),0)</f>
        <v>-2306</v>
      </c>
      <c r="K241" s="139"/>
      <c r="L241" s="139"/>
      <c r="M241" s="215" t="s">
        <v>23</v>
      </c>
    </row>
    <row r="242" ht="21.75" customHeight="1" spans="1:13">
      <c r="A242" s="122">
        <v>241</v>
      </c>
      <c r="B242" s="127" t="s">
        <v>485</v>
      </c>
      <c r="C242" s="127" t="s">
        <v>480</v>
      </c>
      <c r="D242" s="123" t="s">
        <v>433</v>
      </c>
      <c r="E242" s="137" t="s">
        <v>27</v>
      </c>
      <c r="F242" s="125" t="s">
        <v>21</v>
      </c>
      <c r="G242" s="177">
        <v>13516286668</v>
      </c>
      <c r="H242" s="126"/>
      <c r="I242" s="135"/>
      <c r="J242" s="135"/>
      <c r="K242" s="125"/>
      <c r="L242" s="125"/>
      <c r="M242" s="215"/>
    </row>
    <row r="243" ht="21.75" customHeight="1" spans="1:13">
      <c r="A243" s="122">
        <v>242</v>
      </c>
      <c r="B243" s="127" t="s">
        <v>486</v>
      </c>
      <c r="C243" s="127" t="s">
        <v>480</v>
      </c>
      <c r="D243" s="123" t="s">
        <v>58</v>
      </c>
      <c r="E243" s="137" t="s">
        <v>27</v>
      </c>
      <c r="F243" s="125" t="s">
        <v>21</v>
      </c>
      <c r="G243" s="177">
        <v>18068506346</v>
      </c>
      <c r="H243" s="126"/>
      <c r="I243" s="135"/>
      <c r="J243" s="135"/>
      <c r="K243" s="125"/>
      <c r="L243" s="125"/>
      <c r="M243" s="215"/>
    </row>
    <row r="244" ht="21.75" customHeight="1" spans="1:13">
      <c r="A244" s="122">
        <v>243</v>
      </c>
      <c r="B244" s="127" t="s">
        <v>487</v>
      </c>
      <c r="C244" s="127" t="s">
        <v>480</v>
      </c>
      <c r="D244" s="123" t="s">
        <v>91</v>
      </c>
      <c r="E244" s="137" t="s">
        <v>27</v>
      </c>
      <c r="F244" s="125" t="s">
        <v>21</v>
      </c>
      <c r="G244" s="177">
        <v>18813039448</v>
      </c>
      <c r="H244" s="126"/>
      <c r="I244" s="135"/>
      <c r="J244" s="135"/>
      <c r="K244" s="135"/>
      <c r="L244" s="125"/>
      <c r="M244" s="215"/>
    </row>
    <row r="245" ht="21.75" customHeight="1" spans="1:13">
      <c r="A245" s="122">
        <v>244</v>
      </c>
      <c r="B245" s="127" t="s">
        <v>488</v>
      </c>
      <c r="C245" s="127" t="s">
        <v>480</v>
      </c>
      <c r="D245" s="123" t="s">
        <v>44</v>
      </c>
      <c r="E245" s="137" t="s">
        <v>27</v>
      </c>
      <c r="F245" s="125" t="s">
        <v>21</v>
      </c>
      <c r="G245" s="177">
        <v>13522692267</v>
      </c>
      <c r="H245" s="126"/>
      <c r="I245" s="135"/>
      <c r="J245" s="135"/>
      <c r="K245" s="135"/>
      <c r="L245" s="125"/>
      <c r="M245" s="215"/>
    </row>
    <row r="246" ht="21.75" customHeight="1" spans="1:13">
      <c r="A246" s="122">
        <v>245</v>
      </c>
      <c r="B246" s="141" t="s">
        <v>489</v>
      </c>
      <c r="C246" s="141" t="s">
        <v>25</v>
      </c>
      <c r="D246" s="137" t="s">
        <v>215</v>
      </c>
      <c r="E246" s="137" t="s">
        <v>107</v>
      </c>
      <c r="F246" s="139" t="s">
        <v>21</v>
      </c>
      <c r="G246" s="153">
        <v>15522501847</v>
      </c>
      <c r="H246" s="142">
        <v>42583</v>
      </c>
      <c r="I246" s="142">
        <f>EDATE(H246,36)-1</f>
        <v>43677</v>
      </c>
      <c r="J246" s="148">
        <f ca="1">ROUND(I246-NOW(),0)</f>
        <v>-2375</v>
      </c>
      <c r="K246" s="139"/>
      <c r="L246" s="139"/>
      <c r="M246" s="215" t="s">
        <v>23</v>
      </c>
    </row>
    <row r="247" ht="21.75" customHeight="1" spans="1:13">
      <c r="A247" s="122">
        <v>246</v>
      </c>
      <c r="B247" s="141" t="s">
        <v>490</v>
      </c>
      <c r="C247" s="141" t="s">
        <v>36</v>
      </c>
      <c r="D247" s="137" t="s">
        <v>106</v>
      </c>
      <c r="E247" s="137" t="s">
        <v>56</v>
      </c>
      <c r="F247" s="139" t="s">
        <v>21</v>
      </c>
      <c r="G247" s="153">
        <v>13466603594</v>
      </c>
      <c r="H247" s="142">
        <v>42660</v>
      </c>
      <c r="I247" s="142">
        <f>EDATE(H247,36)-1</f>
        <v>43754</v>
      </c>
      <c r="J247" s="148">
        <f ca="1">ROUND(I247-NOW(),0)</f>
        <v>-2298</v>
      </c>
      <c r="K247" s="139"/>
      <c r="L247" s="139"/>
      <c r="M247" s="215" t="s">
        <v>23</v>
      </c>
    </row>
    <row r="248" ht="21.75" customHeight="1" spans="1:13">
      <c r="A248" s="122">
        <v>247</v>
      </c>
      <c r="B248" s="141" t="s">
        <v>491</v>
      </c>
      <c r="C248" s="141" t="s">
        <v>61</v>
      </c>
      <c r="D248" s="137" t="s">
        <v>101</v>
      </c>
      <c r="E248" s="137" t="s">
        <v>440</v>
      </c>
      <c r="F248" s="139" t="s">
        <v>21</v>
      </c>
      <c r="G248" s="153">
        <v>15811082813</v>
      </c>
      <c r="H248" s="142">
        <v>42660</v>
      </c>
      <c r="I248" s="142">
        <f>EDATE(H248,36)-1</f>
        <v>43754</v>
      </c>
      <c r="J248" s="148">
        <f ca="1">ROUND(I248-NOW(),0)</f>
        <v>-2298</v>
      </c>
      <c r="K248" s="139"/>
      <c r="L248" s="139"/>
      <c r="M248" s="215" t="s">
        <v>23</v>
      </c>
    </row>
    <row r="249" ht="21.75" customHeight="1" spans="1:13">
      <c r="A249" s="122">
        <v>248</v>
      </c>
      <c r="B249" s="270" t="s">
        <v>492</v>
      </c>
      <c r="C249" s="270" t="s">
        <v>132</v>
      </c>
      <c r="D249" s="272" t="s">
        <v>94</v>
      </c>
      <c r="E249" s="137" t="s">
        <v>27</v>
      </c>
      <c r="F249" s="272" t="s">
        <v>21</v>
      </c>
      <c r="G249" s="277">
        <v>15650708496</v>
      </c>
      <c r="H249" s="274"/>
      <c r="I249" s="274"/>
      <c r="J249" s="275"/>
      <c r="K249" s="272"/>
      <c r="L249" s="272" t="s">
        <v>271</v>
      </c>
      <c r="M249" s="215"/>
    </row>
    <row r="250" ht="21.75" customHeight="1" spans="1:13">
      <c r="A250" s="122">
        <v>249</v>
      </c>
      <c r="B250" s="127" t="s">
        <v>493</v>
      </c>
      <c r="C250" s="127" t="s">
        <v>480</v>
      </c>
      <c r="D250" s="123" t="s">
        <v>118</v>
      </c>
      <c r="E250" s="137" t="s">
        <v>27</v>
      </c>
      <c r="F250" s="125" t="s">
        <v>21</v>
      </c>
      <c r="G250" s="177">
        <v>17888836929</v>
      </c>
      <c r="H250" s="126"/>
      <c r="I250" s="135"/>
      <c r="J250" s="135"/>
      <c r="K250" s="135"/>
      <c r="L250" s="125"/>
      <c r="M250" s="215"/>
    </row>
    <row r="251" ht="21.75" customHeight="1" spans="1:13">
      <c r="A251" s="122">
        <v>250</v>
      </c>
      <c r="B251" s="141" t="s">
        <v>494</v>
      </c>
      <c r="C251" s="141" t="s">
        <v>25</v>
      </c>
      <c r="D251" s="137" t="s">
        <v>55</v>
      </c>
      <c r="E251" s="137" t="s">
        <v>65</v>
      </c>
      <c r="F251" s="139" t="s">
        <v>21</v>
      </c>
      <c r="G251" s="153">
        <v>13520059357</v>
      </c>
      <c r="H251" s="142">
        <v>42661</v>
      </c>
      <c r="I251" s="142">
        <f>EDATE(H251,36)-1</f>
        <v>43755</v>
      </c>
      <c r="J251" s="148">
        <f ca="1">ROUND(I251-NOW(),0)</f>
        <v>-2297</v>
      </c>
      <c r="K251" s="139"/>
      <c r="L251" s="139"/>
      <c r="M251" s="215" t="s">
        <v>23</v>
      </c>
    </row>
    <row r="252" ht="21.75" customHeight="1" spans="1:13">
      <c r="A252" s="122">
        <v>251</v>
      </c>
      <c r="B252" s="141" t="s">
        <v>495</v>
      </c>
      <c r="C252" s="141" t="s">
        <v>36</v>
      </c>
      <c r="D252" s="137" t="s">
        <v>37</v>
      </c>
      <c r="E252" s="137" t="s">
        <v>56</v>
      </c>
      <c r="F252" s="139" t="s">
        <v>21</v>
      </c>
      <c r="G252" s="153">
        <v>13811158309</v>
      </c>
      <c r="H252" s="142">
        <v>42667</v>
      </c>
      <c r="I252" s="142">
        <f>EDATE(H252,36)-1</f>
        <v>43761</v>
      </c>
      <c r="J252" s="148">
        <f ca="1">ROUND(I252-NOW(),0)</f>
        <v>-2291</v>
      </c>
      <c r="K252" s="139"/>
      <c r="L252" s="139"/>
      <c r="M252" s="215" t="s">
        <v>23</v>
      </c>
    </row>
    <row r="253" ht="21.75" customHeight="1" spans="1:13">
      <c r="A253" s="122">
        <v>252</v>
      </c>
      <c r="B253" s="127" t="s">
        <v>496</v>
      </c>
      <c r="C253" s="127" t="s">
        <v>480</v>
      </c>
      <c r="D253" s="123" t="s">
        <v>29</v>
      </c>
      <c r="E253" s="137" t="s">
        <v>27</v>
      </c>
      <c r="F253" s="125" t="s">
        <v>21</v>
      </c>
      <c r="G253" s="177">
        <v>18811318236</v>
      </c>
      <c r="H253" s="126"/>
      <c r="I253" s="135"/>
      <c r="J253" s="135"/>
      <c r="K253" s="135"/>
      <c r="L253" s="125"/>
      <c r="M253" s="215"/>
    </row>
    <row r="254" ht="21.75" customHeight="1" spans="1:13">
      <c r="A254" s="122">
        <v>253</v>
      </c>
      <c r="B254" s="141" t="s">
        <v>497</v>
      </c>
      <c r="C254" s="141" t="s">
        <v>243</v>
      </c>
      <c r="D254" s="137" t="s">
        <v>498</v>
      </c>
      <c r="E254" s="137" t="s">
        <v>499</v>
      </c>
      <c r="F254" s="139" t="s">
        <v>21</v>
      </c>
      <c r="G254" s="153">
        <v>13810523567</v>
      </c>
      <c r="H254" s="142">
        <v>42671</v>
      </c>
      <c r="I254" s="142">
        <f>EDATE(H254,36)-1</f>
        <v>43765</v>
      </c>
      <c r="J254" s="148">
        <f ca="1">ROUND(I254-NOW(),0)</f>
        <v>-2287</v>
      </c>
      <c r="K254" s="139"/>
      <c r="L254" s="139"/>
      <c r="M254" s="215" t="s">
        <v>23</v>
      </c>
    </row>
    <row r="255" s="94" customFormat="1" ht="21.75" customHeight="1" spans="1:13">
      <c r="A255" s="122">
        <v>254</v>
      </c>
      <c r="B255" s="141" t="s">
        <v>500</v>
      </c>
      <c r="C255" s="141" t="s">
        <v>78</v>
      </c>
      <c r="D255" s="137" t="s">
        <v>218</v>
      </c>
      <c r="E255" s="137" t="s">
        <v>219</v>
      </c>
      <c r="F255" s="139" t="s">
        <v>309</v>
      </c>
      <c r="G255" s="251">
        <v>18602988311</v>
      </c>
      <c r="H255" s="142">
        <v>42674</v>
      </c>
      <c r="I255" s="142">
        <f>EDATE(H255,36)-1</f>
        <v>43768</v>
      </c>
      <c r="J255" s="148">
        <f ca="1">ROUND(I255-NOW(),0)</f>
        <v>-2284</v>
      </c>
      <c r="K255" s="139"/>
      <c r="L255" s="139"/>
      <c r="M255" s="137"/>
    </row>
    <row r="256" ht="21.75" customHeight="1" spans="1:13">
      <c r="A256" s="122">
        <v>255</v>
      </c>
      <c r="B256" s="127" t="s">
        <v>501</v>
      </c>
      <c r="C256" s="127" t="s">
        <v>480</v>
      </c>
      <c r="D256" s="123" t="s">
        <v>44</v>
      </c>
      <c r="E256" s="137" t="s">
        <v>27</v>
      </c>
      <c r="F256" s="125" t="s">
        <v>21</v>
      </c>
      <c r="G256" s="177">
        <v>13070117182</v>
      </c>
      <c r="H256" s="126"/>
      <c r="I256" s="135"/>
      <c r="J256" s="135"/>
      <c r="K256" s="135"/>
      <c r="L256" s="125"/>
      <c r="M256" s="215"/>
    </row>
    <row r="257" ht="21.75" customHeight="1" spans="1:15">
      <c r="A257" s="122">
        <v>256</v>
      </c>
      <c r="B257" s="270" t="s">
        <v>502</v>
      </c>
      <c r="C257" s="270" t="s">
        <v>18</v>
      </c>
      <c r="D257" s="272" t="s">
        <v>32</v>
      </c>
      <c r="E257" s="137" t="s">
        <v>27</v>
      </c>
      <c r="F257" s="272" t="s">
        <v>21</v>
      </c>
      <c r="G257" s="277">
        <v>13718484207</v>
      </c>
      <c r="H257" s="274"/>
      <c r="I257" s="274"/>
      <c r="J257" s="275"/>
      <c r="K257" s="272"/>
      <c r="L257" s="272"/>
      <c r="M257" s="215"/>
    </row>
    <row r="258" ht="21.75" customHeight="1" spans="1:15">
      <c r="A258" s="122">
        <v>257</v>
      </c>
      <c r="B258" s="127" t="s">
        <v>503</v>
      </c>
      <c r="C258" s="127" t="s">
        <v>18</v>
      </c>
      <c r="D258" s="123" t="s">
        <v>437</v>
      </c>
      <c r="E258" s="137" t="s">
        <v>27</v>
      </c>
      <c r="F258" s="125" t="s">
        <v>21</v>
      </c>
      <c r="G258" s="177">
        <v>18392181533</v>
      </c>
      <c r="H258" s="126"/>
      <c r="I258" s="135"/>
      <c r="J258" s="135"/>
      <c r="K258" s="135"/>
      <c r="L258" s="125"/>
      <c r="M258" s="215"/>
    </row>
    <row r="259" s="94" customFormat="1" ht="21.75" customHeight="1" spans="1:15">
      <c r="A259" s="122">
        <v>258</v>
      </c>
      <c r="B259" s="141" t="s">
        <v>504</v>
      </c>
      <c r="C259" s="141" t="s">
        <v>18</v>
      </c>
      <c r="D259" s="137" t="s">
        <v>505</v>
      </c>
      <c r="E259" s="137" t="s">
        <v>276</v>
      </c>
      <c r="F259" s="139" t="s">
        <v>21</v>
      </c>
      <c r="G259" s="251">
        <v>13720010671</v>
      </c>
      <c r="H259" s="142">
        <v>42684</v>
      </c>
      <c r="I259" s="142">
        <f>EDATE(H259,36)-1</f>
        <v>43778</v>
      </c>
      <c r="J259" s="148">
        <f ca="1">ROUND(I259-NOW(),0)</f>
        <v>-2274</v>
      </c>
      <c r="K259" s="139"/>
      <c r="L259" s="139"/>
      <c r="M259" s="137"/>
    </row>
    <row r="260" s="94" customFormat="1" ht="21.75" customHeight="1" spans="1:15">
      <c r="A260" s="122">
        <v>259</v>
      </c>
      <c r="B260" s="141" t="s">
        <v>506</v>
      </c>
      <c r="C260" s="141" t="s">
        <v>36</v>
      </c>
      <c r="D260" s="137" t="s">
        <v>145</v>
      </c>
      <c r="E260" s="137" t="s">
        <v>97</v>
      </c>
      <c r="F260" s="139" t="s">
        <v>352</v>
      </c>
      <c r="G260" s="251">
        <v>13502891352</v>
      </c>
      <c r="H260" s="142">
        <v>42688</v>
      </c>
      <c r="I260" s="142">
        <f>EDATE(H260,36)-1</f>
        <v>43782</v>
      </c>
      <c r="J260" s="148">
        <f ca="1">ROUND(I260-NOW(),0)</f>
        <v>-2270</v>
      </c>
      <c r="K260" s="139"/>
      <c r="L260" s="139"/>
      <c r="M260" s="137"/>
    </row>
    <row r="261" s="94" customFormat="1" ht="21.75" customHeight="1" spans="1:15">
      <c r="A261" s="122">
        <v>260</v>
      </c>
      <c r="B261" s="141" t="s">
        <v>507</v>
      </c>
      <c r="C261" s="141" t="s">
        <v>36</v>
      </c>
      <c r="D261" s="137" t="s">
        <v>145</v>
      </c>
      <c r="E261" s="137" t="s">
        <v>97</v>
      </c>
      <c r="F261" s="139" t="s">
        <v>348</v>
      </c>
      <c r="G261" s="251">
        <v>13918029447</v>
      </c>
      <c r="H261" s="142">
        <v>42688</v>
      </c>
      <c r="I261" s="142">
        <f>EDATE(H261,36)-1</f>
        <v>43782</v>
      </c>
      <c r="J261" s="148">
        <f ca="1">ROUND(I261-NOW(),0)</f>
        <v>-2270</v>
      </c>
      <c r="K261" s="139"/>
      <c r="L261" s="139"/>
      <c r="M261" s="137"/>
    </row>
    <row r="262" s="94" customFormat="1" ht="21.75" customHeight="1" spans="1:15">
      <c r="A262" s="122">
        <v>261</v>
      </c>
      <c r="B262" s="141" t="s">
        <v>508</v>
      </c>
      <c r="C262" s="141" t="s">
        <v>52</v>
      </c>
      <c r="D262" s="137" t="s">
        <v>194</v>
      </c>
      <c r="E262" s="137" t="s">
        <v>329</v>
      </c>
      <c r="F262" s="139" t="s">
        <v>21</v>
      </c>
      <c r="G262" s="251">
        <v>18611128624</v>
      </c>
      <c r="H262" s="142">
        <v>42695</v>
      </c>
      <c r="I262" s="142">
        <f>EDATE(H262,36)-1</f>
        <v>43789</v>
      </c>
      <c r="J262" s="148">
        <f ca="1">ROUND(I262-NOW(),0)</f>
        <v>-2263</v>
      </c>
      <c r="K262" s="139"/>
      <c r="L262" s="139"/>
      <c r="M262" s="137"/>
    </row>
    <row r="263" s="94" customFormat="1" ht="21.75" customHeight="1" spans="1:15">
      <c r="A263" s="122">
        <v>262</v>
      </c>
      <c r="B263" s="141" t="s">
        <v>509</v>
      </c>
      <c r="C263" s="141" t="s">
        <v>52</v>
      </c>
      <c r="D263" s="137" t="s">
        <v>133</v>
      </c>
      <c r="E263" s="137" t="s">
        <v>153</v>
      </c>
      <c r="F263" s="139" t="s">
        <v>21</v>
      </c>
      <c r="G263" s="251">
        <v>13520006837</v>
      </c>
      <c r="H263" s="142">
        <v>42695</v>
      </c>
      <c r="I263" s="142">
        <f>EDATE(H263,36)</f>
        <v>43790</v>
      </c>
      <c r="J263" s="148">
        <f ca="1">ROUND(I263-NOW(),0)</f>
        <v>-2262</v>
      </c>
      <c r="K263" s="139"/>
      <c r="L263" s="139"/>
      <c r="M263" s="137"/>
    </row>
    <row r="264" ht="21.75" customHeight="1" spans="1:15">
      <c r="A264" s="122">
        <v>263</v>
      </c>
      <c r="B264" s="127" t="s">
        <v>510</v>
      </c>
      <c r="C264" s="127" t="s">
        <v>52</v>
      </c>
      <c r="D264" s="123" t="s">
        <v>133</v>
      </c>
      <c r="E264" s="137" t="s">
        <v>27</v>
      </c>
      <c r="F264" s="125" t="s">
        <v>21</v>
      </c>
      <c r="G264" s="177">
        <v>18813080306</v>
      </c>
      <c r="H264" s="126"/>
      <c r="I264" s="135"/>
      <c r="J264" s="135"/>
      <c r="K264" s="135"/>
      <c r="L264" s="125"/>
      <c r="M264" s="215"/>
    </row>
    <row r="265" s="94" customFormat="1" ht="21.75" customHeight="1" spans="1:15">
      <c r="A265" s="122">
        <v>264</v>
      </c>
      <c r="B265" s="141" t="s">
        <v>511</v>
      </c>
      <c r="C265" s="141" t="s">
        <v>36</v>
      </c>
      <c r="D265" s="137" t="s">
        <v>106</v>
      </c>
      <c r="E265" s="137" t="s">
        <v>115</v>
      </c>
      <c r="F265" s="139" t="s">
        <v>21</v>
      </c>
      <c r="G265" s="251">
        <v>18810412778</v>
      </c>
      <c r="H265" s="142">
        <v>42703</v>
      </c>
      <c r="I265" s="142">
        <f>EDATE(H265,36)</f>
        <v>43798</v>
      </c>
      <c r="J265" s="148">
        <f ca="1">ROUND(I265-NOW(),0)</f>
        <v>-2254</v>
      </c>
      <c r="K265" s="139"/>
      <c r="L265" s="139"/>
      <c r="M265" s="137"/>
    </row>
    <row r="266" s="94" customFormat="1" ht="21.75" customHeight="1" spans="1:15">
      <c r="A266" s="122">
        <v>265</v>
      </c>
      <c r="B266" s="141" t="s">
        <v>512</v>
      </c>
      <c r="C266" s="141" t="s">
        <v>224</v>
      </c>
      <c r="D266" s="137" t="s">
        <v>225</v>
      </c>
      <c r="E266" s="137" t="s">
        <v>513</v>
      </c>
      <c r="F266" s="139" t="s">
        <v>21</v>
      </c>
      <c r="G266" s="251">
        <v>13810261425</v>
      </c>
      <c r="H266" s="142">
        <v>42705</v>
      </c>
      <c r="I266" s="142">
        <f>EDATE(H266,36)</f>
        <v>43800</v>
      </c>
      <c r="J266" s="148">
        <f ca="1">ROUND(I266-NOW(),0)</f>
        <v>-2252</v>
      </c>
      <c r="K266" s="139"/>
      <c r="L266" s="139"/>
      <c r="M266" s="137"/>
    </row>
    <row r="267" ht="21.75" customHeight="1" spans="1:15">
      <c r="A267" s="122">
        <v>266</v>
      </c>
      <c r="B267" s="141" t="s">
        <v>514</v>
      </c>
      <c r="C267" s="141" t="s">
        <v>224</v>
      </c>
      <c r="D267" s="137" t="s">
        <v>225</v>
      </c>
      <c r="E267" s="137" t="s">
        <v>226</v>
      </c>
      <c r="F267" s="139" t="s">
        <v>21</v>
      </c>
      <c r="G267" s="251">
        <v>13920397301</v>
      </c>
      <c r="H267" s="142">
        <v>42709</v>
      </c>
      <c r="I267" s="142">
        <f>EDATE(H267,36)</f>
        <v>43804</v>
      </c>
      <c r="J267" s="148">
        <f ca="1">ROUND(I267-NOW(),0)</f>
        <v>-2248</v>
      </c>
      <c r="K267" s="139"/>
      <c r="L267" s="139"/>
      <c r="M267" s="137"/>
      <c r="N267" s="94"/>
      <c r="O267" s="94"/>
    </row>
    <row r="268" ht="21.75" customHeight="1" spans="1:15">
      <c r="A268" s="122">
        <v>267</v>
      </c>
      <c r="B268" s="127" t="s">
        <v>515</v>
      </c>
      <c r="C268" s="127" t="s">
        <v>18</v>
      </c>
      <c r="D268" s="123" t="s">
        <v>44</v>
      </c>
      <c r="E268" s="137" t="s">
        <v>27</v>
      </c>
      <c r="F268" s="125" t="s">
        <v>21</v>
      </c>
      <c r="G268" s="177">
        <v>17801182689</v>
      </c>
      <c r="H268" s="126"/>
      <c r="I268" s="135"/>
      <c r="J268" s="135"/>
      <c r="K268" s="135"/>
      <c r="L268" s="125"/>
      <c r="M268" s="215"/>
    </row>
    <row r="269" s="94" customFormat="1" ht="21.75" customHeight="1" spans="1:15">
      <c r="A269" s="122">
        <v>268</v>
      </c>
      <c r="B269" s="141" t="s">
        <v>516</v>
      </c>
      <c r="C269" s="141" t="s">
        <v>78</v>
      </c>
      <c r="D269" s="137" t="s">
        <v>218</v>
      </c>
      <c r="E269" s="137" t="s">
        <v>219</v>
      </c>
      <c r="F269" s="139" t="s">
        <v>517</v>
      </c>
      <c r="G269" s="251">
        <v>18653290806</v>
      </c>
      <c r="H269" s="142">
        <v>42709</v>
      </c>
      <c r="I269" s="142">
        <f>EDATE(H269,36)</f>
        <v>43804</v>
      </c>
      <c r="J269" s="148">
        <f ca="1">ROUND(I269-NOW(),0)</f>
        <v>-2248</v>
      </c>
      <c r="K269" s="139"/>
      <c r="L269" s="139"/>
      <c r="M269" s="137"/>
    </row>
    <row r="270" s="94" customFormat="1" ht="21.75" customHeight="1" spans="1:15">
      <c r="A270" s="122">
        <v>269</v>
      </c>
      <c r="B270" s="270" t="s">
        <v>518</v>
      </c>
      <c r="C270" s="270" t="s">
        <v>18</v>
      </c>
      <c r="D270" s="272" t="s">
        <v>32</v>
      </c>
      <c r="E270" s="137" t="s">
        <v>27</v>
      </c>
      <c r="F270" s="272" t="s">
        <v>21</v>
      </c>
      <c r="G270" s="279">
        <v>13020044637</v>
      </c>
      <c r="H270" s="274"/>
      <c r="I270" s="274"/>
      <c r="J270" s="275"/>
      <c r="K270" s="272"/>
      <c r="L270" s="272" t="s">
        <v>427</v>
      </c>
      <c r="M270" s="215"/>
      <c r="N270" s="261"/>
      <c r="O270" s="261"/>
    </row>
    <row r="271" s="94" customFormat="1" ht="21.75" customHeight="1" spans="1:15">
      <c r="A271" s="122">
        <v>270</v>
      </c>
      <c r="B271" s="141" t="s">
        <v>519</v>
      </c>
      <c r="C271" s="141" t="s">
        <v>224</v>
      </c>
      <c r="D271" s="137" t="s">
        <v>225</v>
      </c>
      <c r="E271" s="137" t="s">
        <v>513</v>
      </c>
      <c r="F271" s="139" t="s">
        <v>21</v>
      </c>
      <c r="G271" s="251">
        <v>13621162250</v>
      </c>
      <c r="H271" s="142">
        <v>42716</v>
      </c>
      <c r="I271" s="142">
        <f>EDATE(H271,36)</f>
        <v>43811</v>
      </c>
      <c r="J271" s="148">
        <f ca="1">ROUND(I271-NOW(),0)</f>
        <v>-2241</v>
      </c>
      <c r="K271" s="139"/>
      <c r="L271" s="139"/>
      <c r="M271" s="137"/>
    </row>
    <row r="272" s="94" customFormat="1" ht="21.75" customHeight="1" spans="1:15">
      <c r="A272" s="122">
        <v>271</v>
      </c>
      <c r="B272" s="270" t="s">
        <v>520</v>
      </c>
      <c r="C272" s="270" t="s">
        <v>18</v>
      </c>
      <c r="D272" s="272" t="s">
        <v>433</v>
      </c>
      <c r="E272" s="137" t="s">
        <v>27</v>
      </c>
      <c r="F272" s="272" t="s">
        <v>21</v>
      </c>
      <c r="G272" s="279">
        <v>18688627272</v>
      </c>
      <c r="H272" s="274"/>
      <c r="I272" s="274"/>
      <c r="J272" s="275"/>
      <c r="K272" s="272"/>
      <c r="L272" s="272"/>
      <c r="M272" s="215"/>
      <c r="N272" s="261"/>
      <c r="O272" s="261"/>
    </row>
    <row r="273" s="94" customFormat="1" ht="21.75" customHeight="1" spans="1:15">
      <c r="A273" s="122">
        <v>272</v>
      </c>
      <c r="B273" s="141" t="s">
        <v>521</v>
      </c>
      <c r="C273" s="141" t="s">
        <v>205</v>
      </c>
      <c r="D273" s="137" t="s">
        <v>114</v>
      </c>
      <c r="E273" s="137" t="s">
        <v>522</v>
      </c>
      <c r="F273" s="139" t="s">
        <v>21</v>
      </c>
      <c r="G273" s="251">
        <v>15801606127</v>
      </c>
      <c r="H273" s="142">
        <v>42717</v>
      </c>
      <c r="I273" s="142">
        <f t="shared" ref="I273:I279" si="21">EDATE(H273,36)</f>
        <v>43812</v>
      </c>
      <c r="J273" s="148">
        <f ca="1" t="shared" ref="J273:J279" si="22">ROUND(I273-NOW(),0)</f>
        <v>-2240</v>
      </c>
      <c r="K273" s="139"/>
      <c r="L273" s="139"/>
      <c r="M273" s="137"/>
    </row>
    <row r="274" s="94" customFormat="1" ht="21.75" customHeight="1" spans="1:15">
      <c r="A274" s="122">
        <v>273</v>
      </c>
      <c r="B274" s="141" t="s">
        <v>523</v>
      </c>
      <c r="C274" s="141" t="s">
        <v>205</v>
      </c>
      <c r="D274" s="137" t="s">
        <v>114</v>
      </c>
      <c r="E274" s="137" t="s">
        <v>524</v>
      </c>
      <c r="F274" s="139" t="s">
        <v>21</v>
      </c>
      <c r="G274" s="251">
        <v>13439087959</v>
      </c>
      <c r="H274" s="142">
        <v>42730</v>
      </c>
      <c r="I274" s="142">
        <f t="shared" si="21"/>
        <v>43825</v>
      </c>
      <c r="J274" s="148">
        <f ca="1" t="shared" si="22"/>
        <v>-2227</v>
      </c>
      <c r="K274" s="139"/>
      <c r="L274" s="139"/>
      <c r="M274" s="137"/>
    </row>
    <row r="275" s="94" customFormat="1" ht="21.75" customHeight="1" spans="1:15">
      <c r="A275" s="122">
        <v>274</v>
      </c>
      <c r="B275" s="141" t="s">
        <v>525</v>
      </c>
      <c r="C275" s="141" t="s">
        <v>36</v>
      </c>
      <c r="D275" s="137" t="s">
        <v>106</v>
      </c>
      <c r="E275" s="137" t="s">
        <v>48</v>
      </c>
      <c r="F275" s="139" t="s">
        <v>21</v>
      </c>
      <c r="G275" s="251">
        <v>18610276386</v>
      </c>
      <c r="H275" s="142">
        <v>42730</v>
      </c>
      <c r="I275" s="142">
        <f t="shared" si="21"/>
        <v>43825</v>
      </c>
      <c r="J275" s="148">
        <f ca="1" t="shared" si="22"/>
        <v>-2227</v>
      </c>
      <c r="K275" s="139"/>
      <c r="L275" s="139"/>
      <c r="M275" s="137"/>
    </row>
    <row r="276" s="94" customFormat="1" ht="21.75" customHeight="1" spans="1:15">
      <c r="A276" s="122">
        <v>275</v>
      </c>
      <c r="B276" s="141" t="s">
        <v>526</v>
      </c>
      <c r="C276" s="141" t="s">
        <v>36</v>
      </c>
      <c r="D276" s="137" t="s">
        <v>145</v>
      </c>
      <c r="E276" s="137" t="s">
        <v>308</v>
      </c>
      <c r="F276" s="139" t="s">
        <v>21</v>
      </c>
      <c r="G276" s="251">
        <v>13811176401</v>
      </c>
      <c r="H276" s="142">
        <v>42730</v>
      </c>
      <c r="I276" s="142">
        <f t="shared" si="21"/>
        <v>43825</v>
      </c>
      <c r="J276" s="148">
        <f ca="1" t="shared" si="22"/>
        <v>-2227</v>
      </c>
      <c r="K276" s="139"/>
      <c r="L276" s="139"/>
      <c r="M276" s="137"/>
    </row>
    <row r="277" s="94" customFormat="1" ht="21.75" customHeight="1" spans="1:15">
      <c r="A277" s="122">
        <v>276</v>
      </c>
      <c r="B277" s="141" t="s">
        <v>527</v>
      </c>
      <c r="C277" s="141" t="s">
        <v>36</v>
      </c>
      <c r="D277" s="137" t="s">
        <v>86</v>
      </c>
      <c r="E277" s="137" t="s">
        <v>153</v>
      </c>
      <c r="F277" s="139" t="s">
        <v>370</v>
      </c>
      <c r="G277" s="251">
        <v>15196612597</v>
      </c>
      <c r="H277" s="142">
        <v>42732</v>
      </c>
      <c r="I277" s="142">
        <f t="shared" si="21"/>
        <v>43827</v>
      </c>
      <c r="J277" s="148">
        <f ca="1" t="shared" si="22"/>
        <v>-2225</v>
      </c>
      <c r="K277" s="139"/>
      <c r="L277" s="139"/>
      <c r="M277" s="137"/>
    </row>
    <row r="278" s="94" customFormat="1" ht="21.75" customHeight="1" spans="1:15">
      <c r="A278" s="122">
        <v>277</v>
      </c>
      <c r="B278" s="141" t="s">
        <v>528</v>
      </c>
      <c r="C278" s="141" t="s">
        <v>36</v>
      </c>
      <c r="D278" s="137" t="s">
        <v>106</v>
      </c>
      <c r="E278" s="137" t="s">
        <v>115</v>
      </c>
      <c r="F278" s="139" t="s">
        <v>21</v>
      </c>
      <c r="G278" s="251">
        <v>18612421694</v>
      </c>
      <c r="H278" s="142">
        <v>42738</v>
      </c>
      <c r="I278" s="142">
        <f t="shared" si="21"/>
        <v>43833</v>
      </c>
      <c r="J278" s="148">
        <f ca="1" t="shared" si="22"/>
        <v>-2219</v>
      </c>
      <c r="K278" s="139"/>
      <c r="L278" s="139"/>
      <c r="M278" s="137"/>
    </row>
    <row r="279" s="94" customFormat="1" ht="21.75" customHeight="1" spans="1:15">
      <c r="A279" s="122">
        <v>278</v>
      </c>
      <c r="B279" s="141" t="s">
        <v>529</v>
      </c>
      <c r="C279" s="141" t="s">
        <v>224</v>
      </c>
      <c r="D279" s="281" t="s">
        <v>225</v>
      </c>
      <c r="E279" s="137" t="s">
        <v>530</v>
      </c>
      <c r="F279" s="139" t="s">
        <v>21</v>
      </c>
      <c r="G279" s="251">
        <v>13717720744</v>
      </c>
      <c r="H279" s="142">
        <v>42738</v>
      </c>
      <c r="I279" s="142">
        <f t="shared" si="21"/>
        <v>43833</v>
      </c>
      <c r="J279" s="148">
        <f ca="1" t="shared" si="22"/>
        <v>-2219</v>
      </c>
      <c r="K279" s="139"/>
      <c r="L279" s="139"/>
      <c r="M279" s="137"/>
    </row>
    <row r="280" s="94" customFormat="1" ht="21.75" customHeight="1" spans="1:15">
      <c r="A280" s="122">
        <v>279</v>
      </c>
      <c r="B280" s="127" t="s">
        <v>531</v>
      </c>
      <c r="C280" s="127" t="s">
        <v>18</v>
      </c>
      <c r="D280" s="123" t="s">
        <v>91</v>
      </c>
      <c r="E280" s="137" t="s">
        <v>27</v>
      </c>
      <c r="F280" s="125" t="s">
        <v>21</v>
      </c>
      <c r="G280" s="177">
        <v>18210929266</v>
      </c>
      <c r="H280" s="126"/>
      <c r="I280" s="135"/>
      <c r="J280" s="135"/>
      <c r="K280" s="135"/>
      <c r="L280" s="125"/>
      <c r="M280" s="215"/>
      <c r="N280" s="261"/>
      <c r="O280" s="261"/>
    </row>
    <row r="281" s="94" customFormat="1" ht="21.75" customHeight="1" spans="1:15">
      <c r="A281" s="122">
        <v>280</v>
      </c>
      <c r="B281" s="141" t="s">
        <v>532</v>
      </c>
      <c r="C281" s="141" t="s">
        <v>18</v>
      </c>
      <c r="D281" s="137" t="s">
        <v>58</v>
      </c>
      <c r="E281" s="137" t="s">
        <v>119</v>
      </c>
      <c r="F281" s="139" t="s">
        <v>21</v>
      </c>
      <c r="G281" s="251">
        <v>18210139128</v>
      </c>
      <c r="H281" s="142">
        <v>42738</v>
      </c>
      <c r="I281" s="142">
        <f>EDATE(H281,36)</f>
        <v>43833</v>
      </c>
      <c r="J281" s="148">
        <f ca="1">ROUND(I281-NOW(),0)</f>
        <v>-2219</v>
      </c>
      <c r="K281" s="139"/>
      <c r="L281" s="139"/>
      <c r="M281" s="137"/>
    </row>
    <row r="282" s="94" customFormat="1" ht="21.75" customHeight="1" spans="1:15">
      <c r="A282" s="122">
        <v>281</v>
      </c>
      <c r="B282" s="141" t="s">
        <v>533</v>
      </c>
      <c r="C282" s="141" t="s">
        <v>61</v>
      </c>
      <c r="D282" s="137" t="s">
        <v>166</v>
      </c>
      <c r="E282" s="137" t="s">
        <v>534</v>
      </c>
      <c r="F282" s="139" t="s">
        <v>21</v>
      </c>
      <c r="G282" s="251">
        <v>18910260868</v>
      </c>
      <c r="H282" s="142">
        <v>42738</v>
      </c>
      <c r="I282" s="142">
        <f>EDATE(H282,36)</f>
        <v>43833</v>
      </c>
      <c r="J282" s="148">
        <f ca="1">ROUND(I282-NOW(),0)</f>
        <v>-2219</v>
      </c>
      <c r="K282" s="139"/>
      <c r="L282" s="139"/>
      <c r="M282" s="137"/>
    </row>
    <row r="283" s="94" customFormat="1" ht="21.75" customHeight="1" spans="1:15">
      <c r="A283" s="122">
        <v>282</v>
      </c>
      <c r="B283" s="141" t="s">
        <v>535</v>
      </c>
      <c r="C283" s="141" t="s">
        <v>36</v>
      </c>
      <c r="D283" s="137" t="s">
        <v>86</v>
      </c>
      <c r="E283" s="137" t="s">
        <v>536</v>
      </c>
      <c r="F283" s="139" t="s">
        <v>137</v>
      </c>
      <c r="G283" s="251">
        <v>15961760160</v>
      </c>
      <c r="H283" s="142">
        <v>42738</v>
      </c>
      <c r="I283" s="142">
        <f>EDATE(H283,36)</f>
        <v>43833</v>
      </c>
      <c r="J283" s="148">
        <f ca="1">ROUND(I283-NOW(),0)</f>
        <v>-2219</v>
      </c>
      <c r="K283" s="139"/>
      <c r="L283" s="139"/>
      <c r="M283" s="137"/>
    </row>
    <row r="284" s="94" customFormat="1" ht="21.75" customHeight="1" spans="1:15">
      <c r="A284" s="122">
        <v>283</v>
      </c>
      <c r="B284" s="127" t="s">
        <v>537</v>
      </c>
      <c r="C284" s="127" t="s">
        <v>18</v>
      </c>
      <c r="D284" s="123" t="s">
        <v>118</v>
      </c>
      <c r="E284" s="137" t="s">
        <v>27</v>
      </c>
      <c r="F284" s="125" t="s">
        <v>21</v>
      </c>
      <c r="G284" s="177">
        <v>15652951107</v>
      </c>
      <c r="H284" s="126"/>
      <c r="I284" s="135"/>
      <c r="J284" s="135"/>
      <c r="K284" s="135"/>
      <c r="L284" s="125"/>
      <c r="M284" s="215"/>
      <c r="N284" s="261"/>
      <c r="O284" s="261"/>
    </row>
    <row r="285" s="94" customFormat="1" ht="21.75" customHeight="1" spans="1:15">
      <c r="A285" s="122">
        <v>284</v>
      </c>
      <c r="B285" s="141" t="s">
        <v>538</v>
      </c>
      <c r="C285" s="141" t="s">
        <v>205</v>
      </c>
      <c r="D285" s="137" t="s">
        <v>47</v>
      </c>
      <c r="E285" s="137" t="s">
        <v>329</v>
      </c>
      <c r="F285" s="139" t="s">
        <v>21</v>
      </c>
      <c r="G285" s="251">
        <v>13581523887</v>
      </c>
      <c r="H285" s="142">
        <v>42753</v>
      </c>
      <c r="I285" s="142">
        <f>EDATE(H285,36)</f>
        <v>43848</v>
      </c>
      <c r="J285" s="148">
        <f ca="1">ROUND(I285-NOW(),0)</f>
        <v>-2204</v>
      </c>
      <c r="K285" s="139"/>
      <c r="L285" s="139"/>
      <c r="M285" s="137"/>
    </row>
    <row r="286" s="94" customFormat="1" ht="21.75" customHeight="1" spans="1:15">
      <c r="A286" s="122">
        <v>285</v>
      </c>
      <c r="B286" s="141" t="s">
        <v>539</v>
      </c>
      <c r="C286" s="141" t="s">
        <v>243</v>
      </c>
      <c r="D286" s="137" t="s">
        <v>540</v>
      </c>
      <c r="E286" s="137" t="s">
        <v>541</v>
      </c>
      <c r="F286" s="139" t="s">
        <v>21</v>
      </c>
      <c r="G286" s="251">
        <v>13691165669</v>
      </c>
      <c r="H286" s="142">
        <v>42744</v>
      </c>
      <c r="I286" s="142">
        <f>EDATE(H286,36)</f>
        <v>43839</v>
      </c>
      <c r="J286" s="148">
        <f ca="1">ROUND(I286-NOW(),0)</f>
        <v>-2213</v>
      </c>
      <c r="K286" s="139"/>
      <c r="L286" s="139"/>
      <c r="M286" s="137"/>
    </row>
    <row r="287" s="94" customFormat="1" ht="21.75" customHeight="1" spans="1:15">
      <c r="A287" s="122">
        <v>286</v>
      </c>
      <c r="B287" s="270" t="s">
        <v>542</v>
      </c>
      <c r="C287" s="270" t="s">
        <v>18</v>
      </c>
      <c r="D287" s="272" t="s">
        <v>437</v>
      </c>
      <c r="E287" s="137" t="s">
        <v>27</v>
      </c>
      <c r="F287" s="272" t="s">
        <v>21</v>
      </c>
      <c r="G287" s="279">
        <v>13960901258</v>
      </c>
      <c r="H287" s="274"/>
      <c r="I287" s="274"/>
      <c r="J287" s="275"/>
      <c r="K287" s="272"/>
      <c r="L287" s="272"/>
      <c r="M287" s="215"/>
      <c r="N287" s="261"/>
      <c r="O287" s="261"/>
    </row>
    <row r="288" s="94" customFormat="1" ht="21.75" customHeight="1" spans="1:15">
      <c r="A288" s="122">
        <v>287</v>
      </c>
      <c r="B288" s="141" t="s">
        <v>543</v>
      </c>
      <c r="C288" s="141" t="s">
        <v>243</v>
      </c>
      <c r="D288" s="137" t="s">
        <v>540</v>
      </c>
      <c r="E288" s="137" t="s">
        <v>245</v>
      </c>
      <c r="F288" s="139" t="s">
        <v>21</v>
      </c>
      <c r="G288" s="251">
        <v>13911174404</v>
      </c>
      <c r="H288" s="142">
        <v>42744</v>
      </c>
      <c r="I288" s="142">
        <f>EDATE(H288,36)</f>
        <v>43839</v>
      </c>
      <c r="J288" s="148">
        <f ca="1">ROUND(I288-NOW(),0)</f>
        <v>-2213</v>
      </c>
      <c r="K288" s="139"/>
      <c r="L288" s="139"/>
      <c r="M288" s="137"/>
    </row>
    <row r="289" s="94" customFormat="1" ht="21.75" customHeight="1" spans="1:16">
      <c r="A289" s="122">
        <v>288</v>
      </c>
      <c r="B289" s="141" t="s">
        <v>544</v>
      </c>
      <c r="C289" s="141" t="s">
        <v>36</v>
      </c>
      <c r="D289" s="137" t="s">
        <v>36</v>
      </c>
      <c r="E289" s="137" t="s">
        <v>206</v>
      </c>
      <c r="F289" s="139" t="s">
        <v>21</v>
      </c>
      <c r="G289" s="251">
        <v>13911402734</v>
      </c>
      <c r="H289" s="142">
        <v>42747</v>
      </c>
      <c r="I289" s="142">
        <f>EDATE(H289,36)</f>
        <v>43842</v>
      </c>
      <c r="J289" s="148">
        <f ca="1">ROUND(I289-NOW(),0)</f>
        <v>-2210</v>
      </c>
      <c r="K289" s="139"/>
      <c r="L289" s="139"/>
      <c r="M289" s="137"/>
    </row>
    <row r="290" s="94" customFormat="1" ht="21.75" customHeight="1" spans="1:16">
      <c r="A290" s="122">
        <v>289</v>
      </c>
      <c r="B290" s="270" t="s">
        <v>545</v>
      </c>
      <c r="C290" s="270" t="s">
        <v>18</v>
      </c>
      <c r="D290" s="272" t="s">
        <v>32</v>
      </c>
      <c r="E290" s="137" t="s">
        <v>27</v>
      </c>
      <c r="F290" s="272" t="s">
        <v>21</v>
      </c>
      <c r="G290" s="279">
        <v>18811464662</v>
      </c>
      <c r="H290" s="274"/>
      <c r="I290" s="274"/>
      <c r="J290" s="275"/>
      <c r="K290" s="272"/>
      <c r="L290" s="272" t="s">
        <v>546</v>
      </c>
      <c r="M290" s="215"/>
      <c r="N290" s="261"/>
      <c r="O290" s="261"/>
    </row>
    <row r="291" s="94" customFormat="1" ht="21.75" customHeight="1" spans="1:16">
      <c r="A291" s="122">
        <v>290</v>
      </c>
      <c r="B291" s="127" t="s">
        <v>547</v>
      </c>
      <c r="C291" s="127" t="s">
        <v>18</v>
      </c>
      <c r="D291" s="123" t="s">
        <v>118</v>
      </c>
      <c r="E291" s="137" t="s">
        <v>27</v>
      </c>
      <c r="F291" s="125" t="s">
        <v>21</v>
      </c>
      <c r="G291" s="177">
        <v>18501035804</v>
      </c>
      <c r="H291" s="126"/>
      <c r="I291" s="135"/>
      <c r="J291" s="135"/>
      <c r="K291" s="135"/>
      <c r="L291" s="125"/>
      <c r="M291" s="215"/>
      <c r="N291" s="261"/>
      <c r="O291" s="261"/>
    </row>
    <row r="292" s="94" customFormat="1" ht="21.75" customHeight="1" spans="1:16">
      <c r="A292" s="122">
        <v>291</v>
      </c>
      <c r="B292" s="127" t="s">
        <v>548</v>
      </c>
      <c r="C292" s="127" t="s">
        <v>18</v>
      </c>
      <c r="D292" s="123" t="s">
        <v>118</v>
      </c>
      <c r="E292" s="137" t="s">
        <v>27</v>
      </c>
      <c r="F292" s="125" t="s">
        <v>21</v>
      </c>
      <c r="G292" s="177">
        <v>17888804616</v>
      </c>
      <c r="H292" s="126"/>
      <c r="I292" s="135"/>
      <c r="J292" s="135"/>
      <c r="K292" s="135"/>
      <c r="L292" s="125"/>
      <c r="M292" s="215"/>
      <c r="N292" s="261"/>
      <c r="O292" s="261"/>
    </row>
    <row r="293" s="94" customFormat="1" ht="21.75" customHeight="1" spans="1:16">
      <c r="A293" s="122">
        <v>292</v>
      </c>
      <c r="B293" s="141" t="s">
        <v>549</v>
      </c>
      <c r="C293" s="141" t="s">
        <v>36</v>
      </c>
      <c r="D293" s="137" t="s">
        <v>106</v>
      </c>
      <c r="E293" s="137" t="s">
        <v>181</v>
      </c>
      <c r="F293" s="139" t="s">
        <v>21</v>
      </c>
      <c r="G293" s="251">
        <v>13889676846</v>
      </c>
      <c r="H293" s="142">
        <v>42757</v>
      </c>
      <c r="I293" s="142">
        <f>EDATE(H293,36)</f>
        <v>43852</v>
      </c>
      <c r="J293" s="148">
        <f ca="1" t="shared" ref="J293:J306" si="23">ROUND(I293-NOW(),0)</f>
        <v>-2200</v>
      </c>
      <c r="K293" s="139"/>
      <c r="L293" s="139"/>
      <c r="M293" s="137"/>
    </row>
    <row r="294" s="94" customFormat="1" ht="21.75" customHeight="1" spans="1:16">
      <c r="A294" s="122">
        <v>293</v>
      </c>
      <c r="B294" s="141" t="s">
        <v>550</v>
      </c>
      <c r="C294" s="141" t="s">
        <v>18</v>
      </c>
      <c r="D294" s="137" t="s">
        <v>32</v>
      </c>
      <c r="E294" s="137" t="s">
        <v>551</v>
      </c>
      <c r="F294" s="139" t="s">
        <v>21</v>
      </c>
      <c r="G294" s="251">
        <v>15810334253</v>
      </c>
      <c r="H294" s="142">
        <v>42758</v>
      </c>
      <c r="I294" s="142">
        <f>EDATE(H294,36)</f>
        <v>43853</v>
      </c>
      <c r="J294" s="148">
        <f ca="1" t="shared" si="23"/>
        <v>-2199</v>
      </c>
      <c r="K294" s="139"/>
      <c r="L294" s="139"/>
      <c r="M294" s="137"/>
      <c r="P294" s="94" t="s">
        <v>552</v>
      </c>
    </row>
    <row r="295" s="94" customFormat="1" ht="21.75" customHeight="1" spans="1:16">
      <c r="A295" s="122">
        <v>294</v>
      </c>
      <c r="B295" s="141" t="s">
        <v>553</v>
      </c>
      <c r="C295" s="137" t="s">
        <v>224</v>
      </c>
      <c r="D295" s="137" t="s">
        <v>382</v>
      </c>
      <c r="E295" s="137" t="s">
        <v>388</v>
      </c>
      <c r="F295" s="139" t="s">
        <v>21</v>
      </c>
      <c r="G295" s="251">
        <v>13261570968</v>
      </c>
      <c r="H295" s="142">
        <v>42772</v>
      </c>
      <c r="I295" s="142">
        <f>EDATE(H295,36)</f>
        <v>43867</v>
      </c>
      <c r="J295" s="148">
        <f ca="1" t="shared" si="23"/>
        <v>-2185</v>
      </c>
      <c r="K295" s="139"/>
      <c r="L295" s="139"/>
      <c r="M295" s="137"/>
    </row>
    <row r="296" s="94" customFormat="1" ht="21.75" customHeight="1" spans="1:16">
      <c r="A296" s="122">
        <v>295</v>
      </c>
      <c r="B296" s="141" t="s">
        <v>554</v>
      </c>
      <c r="C296" s="141" t="s">
        <v>132</v>
      </c>
      <c r="D296" s="137" t="s">
        <v>133</v>
      </c>
      <c r="E296" s="137" t="s">
        <v>20</v>
      </c>
      <c r="F296" s="139" t="s">
        <v>21</v>
      </c>
      <c r="G296" s="251">
        <v>13911676403</v>
      </c>
      <c r="H296" s="142">
        <v>42772</v>
      </c>
      <c r="I296" s="142">
        <f>EDATE(H296,36)</f>
        <v>43867</v>
      </c>
      <c r="J296" s="148">
        <f ca="1" t="shared" si="23"/>
        <v>-2185</v>
      </c>
      <c r="K296" s="139"/>
      <c r="L296" s="139"/>
      <c r="M296" s="137"/>
    </row>
    <row r="297" s="94" customFormat="1" ht="21.75" customHeight="1" spans="1:16">
      <c r="A297" s="122">
        <v>296</v>
      </c>
      <c r="B297" s="141" t="s">
        <v>555</v>
      </c>
      <c r="C297" s="141" t="s">
        <v>78</v>
      </c>
      <c r="D297" s="137" t="s">
        <v>556</v>
      </c>
      <c r="E297" s="137" t="s">
        <v>74</v>
      </c>
      <c r="F297" s="139" t="s">
        <v>21</v>
      </c>
      <c r="G297" s="251">
        <v>13910079208</v>
      </c>
      <c r="H297" s="142">
        <v>42772</v>
      </c>
      <c r="I297" s="142">
        <v>43867</v>
      </c>
      <c r="J297" s="148">
        <f ca="1" t="shared" si="23"/>
        <v>-2185</v>
      </c>
      <c r="K297" s="139"/>
      <c r="L297" s="139"/>
      <c r="M297" s="137"/>
    </row>
    <row r="298" s="94" customFormat="1" ht="21.75" customHeight="1" spans="1:16">
      <c r="A298" s="122">
        <v>297</v>
      </c>
      <c r="B298" s="141" t="s">
        <v>557</v>
      </c>
      <c r="C298" s="141" t="s">
        <v>243</v>
      </c>
      <c r="D298" s="137" t="s">
        <v>558</v>
      </c>
      <c r="E298" s="137" t="s">
        <v>559</v>
      </c>
      <c r="F298" s="139" t="s">
        <v>21</v>
      </c>
      <c r="G298" s="251">
        <v>13910629808</v>
      </c>
      <c r="H298" s="142">
        <v>42772</v>
      </c>
      <c r="I298" s="142">
        <f t="shared" ref="I298:I306" si="24">EDATE(H298,36)</f>
        <v>43867</v>
      </c>
      <c r="J298" s="148">
        <f ca="1" t="shared" si="23"/>
        <v>-2185</v>
      </c>
      <c r="K298" s="139"/>
      <c r="L298" s="139"/>
      <c r="M298" s="137"/>
    </row>
    <row r="299" s="94" customFormat="1" ht="21.75" customHeight="1" spans="1:16">
      <c r="A299" s="122">
        <v>298</v>
      </c>
      <c r="B299" s="141" t="s">
        <v>560</v>
      </c>
      <c r="C299" s="141" t="s">
        <v>243</v>
      </c>
      <c r="D299" s="137" t="s">
        <v>244</v>
      </c>
      <c r="E299" s="137" t="s">
        <v>362</v>
      </c>
      <c r="F299" s="139" t="s">
        <v>21</v>
      </c>
      <c r="G299" s="251">
        <v>13718098864</v>
      </c>
      <c r="H299" s="142">
        <v>42772</v>
      </c>
      <c r="I299" s="142">
        <f t="shared" si="24"/>
        <v>43867</v>
      </c>
      <c r="J299" s="148">
        <f ca="1" t="shared" si="23"/>
        <v>-2185</v>
      </c>
      <c r="K299" s="139"/>
      <c r="L299" s="139"/>
      <c r="M299" s="137"/>
    </row>
    <row r="300" s="94" customFormat="1" ht="21.75" customHeight="1" spans="1:16">
      <c r="A300" s="122">
        <v>299</v>
      </c>
      <c r="B300" s="141" t="s">
        <v>561</v>
      </c>
      <c r="C300" s="141" t="s">
        <v>132</v>
      </c>
      <c r="D300" s="137" t="s">
        <v>133</v>
      </c>
      <c r="E300" s="137" t="s">
        <v>562</v>
      </c>
      <c r="F300" s="139" t="s">
        <v>21</v>
      </c>
      <c r="G300" s="251">
        <v>13641363647</v>
      </c>
      <c r="H300" s="142">
        <v>42772</v>
      </c>
      <c r="I300" s="142">
        <f t="shared" si="24"/>
        <v>43867</v>
      </c>
      <c r="J300" s="148">
        <f ca="1" t="shared" si="23"/>
        <v>-2185</v>
      </c>
      <c r="K300" s="139"/>
      <c r="L300" s="139"/>
      <c r="M300" s="137"/>
    </row>
    <row r="301" s="94" customFormat="1" ht="21.75" customHeight="1" spans="1:16">
      <c r="A301" s="122">
        <v>300</v>
      </c>
      <c r="B301" s="141" t="s">
        <v>563</v>
      </c>
      <c r="C301" s="141" t="s">
        <v>132</v>
      </c>
      <c r="D301" s="137" t="s">
        <v>133</v>
      </c>
      <c r="E301" s="137" t="s">
        <v>56</v>
      </c>
      <c r="F301" s="139" t="s">
        <v>21</v>
      </c>
      <c r="G301" s="251">
        <v>13910082246</v>
      </c>
      <c r="H301" s="142">
        <v>42772</v>
      </c>
      <c r="I301" s="142">
        <f t="shared" si="24"/>
        <v>43867</v>
      </c>
      <c r="J301" s="148">
        <f ca="1" t="shared" si="23"/>
        <v>-2185</v>
      </c>
      <c r="K301" s="139"/>
      <c r="L301" s="139"/>
      <c r="M301" s="137"/>
    </row>
    <row r="302" s="94" customFormat="1" ht="21.75" customHeight="1" spans="1:16">
      <c r="A302" s="122">
        <v>301</v>
      </c>
      <c r="B302" s="141" t="s">
        <v>564</v>
      </c>
      <c r="C302" s="141" t="s">
        <v>36</v>
      </c>
      <c r="D302" s="137" t="s">
        <v>565</v>
      </c>
      <c r="E302" s="137" t="s">
        <v>400</v>
      </c>
      <c r="F302" s="139" t="s">
        <v>21</v>
      </c>
      <c r="G302" s="251">
        <v>18610273600</v>
      </c>
      <c r="H302" s="142">
        <v>42773</v>
      </c>
      <c r="I302" s="142">
        <f t="shared" si="24"/>
        <v>43868</v>
      </c>
      <c r="J302" s="148">
        <f ca="1" t="shared" si="23"/>
        <v>-2184</v>
      </c>
      <c r="K302" s="139"/>
      <c r="L302" s="139"/>
      <c r="M302" s="137"/>
    </row>
    <row r="303" s="94" customFormat="1" ht="21.75" customHeight="1" spans="1:16">
      <c r="A303" s="122">
        <v>302</v>
      </c>
      <c r="B303" s="141" t="s">
        <v>566</v>
      </c>
      <c r="C303" s="141" t="s">
        <v>243</v>
      </c>
      <c r="D303" s="137" t="s">
        <v>540</v>
      </c>
      <c r="E303" s="137" t="s">
        <v>245</v>
      </c>
      <c r="F303" s="139" t="s">
        <v>21</v>
      </c>
      <c r="G303" s="251">
        <v>13910897868</v>
      </c>
      <c r="H303" s="142">
        <v>42774</v>
      </c>
      <c r="I303" s="142">
        <f t="shared" si="24"/>
        <v>43869</v>
      </c>
      <c r="J303" s="148">
        <f ca="1" t="shared" si="23"/>
        <v>-2183</v>
      </c>
      <c r="K303" s="139"/>
      <c r="L303" s="139"/>
      <c r="M303" s="137"/>
    </row>
    <row r="304" s="94" customFormat="1" ht="21.75" customHeight="1" spans="1:16">
      <c r="A304" s="122">
        <v>303</v>
      </c>
      <c r="B304" s="141" t="s">
        <v>567</v>
      </c>
      <c r="C304" s="141" t="s">
        <v>36</v>
      </c>
      <c r="D304" s="137" t="s">
        <v>565</v>
      </c>
      <c r="E304" s="137" t="s">
        <v>400</v>
      </c>
      <c r="F304" s="139" t="s">
        <v>21</v>
      </c>
      <c r="G304" s="251">
        <v>15611925981</v>
      </c>
      <c r="H304" s="142">
        <v>42775</v>
      </c>
      <c r="I304" s="142">
        <f t="shared" si="24"/>
        <v>43870</v>
      </c>
      <c r="J304" s="148">
        <f ca="1" t="shared" si="23"/>
        <v>-2182</v>
      </c>
      <c r="K304" s="139"/>
      <c r="L304" s="139"/>
      <c r="M304" s="137"/>
    </row>
    <row r="305" s="94" customFormat="1" ht="21.75" customHeight="1" spans="1:15">
      <c r="A305" s="122">
        <v>304</v>
      </c>
      <c r="B305" s="141" t="s">
        <v>568</v>
      </c>
      <c r="C305" s="141" t="s">
        <v>205</v>
      </c>
      <c r="D305" s="137" t="s">
        <v>215</v>
      </c>
      <c r="E305" s="137" t="s">
        <v>65</v>
      </c>
      <c r="F305" s="139" t="s">
        <v>21</v>
      </c>
      <c r="G305" s="251">
        <v>13821092033</v>
      </c>
      <c r="H305" s="142">
        <v>42775</v>
      </c>
      <c r="I305" s="142">
        <f t="shared" si="24"/>
        <v>43870</v>
      </c>
      <c r="J305" s="148">
        <f ca="1" t="shared" si="23"/>
        <v>-2182</v>
      </c>
      <c r="K305" s="139"/>
      <c r="L305" s="139"/>
      <c r="M305" s="137"/>
    </row>
    <row r="306" s="94" customFormat="1" ht="21.75" customHeight="1" spans="1:15">
      <c r="A306" s="122">
        <v>305</v>
      </c>
      <c r="B306" s="141" t="s">
        <v>569</v>
      </c>
      <c r="C306" s="141" t="s">
        <v>36</v>
      </c>
      <c r="D306" s="137" t="s">
        <v>86</v>
      </c>
      <c r="E306" s="137" t="s">
        <v>136</v>
      </c>
      <c r="F306" s="139" t="s">
        <v>21</v>
      </c>
      <c r="G306" s="251">
        <v>18610188235</v>
      </c>
      <c r="H306" s="142">
        <v>42795</v>
      </c>
      <c r="I306" s="142">
        <f t="shared" si="24"/>
        <v>43891</v>
      </c>
      <c r="J306" s="148">
        <f ca="1" t="shared" si="23"/>
        <v>-2161</v>
      </c>
      <c r="K306" s="139"/>
      <c r="L306" s="139"/>
      <c r="M306" s="137"/>
    </row>
    <row r="307" s="94" customFormat="1" ht="21.75" customHeight="1" spans="1:15">
      <c r="A307" s="122">
        <v>306</v>
      </c>
      <c r="B307" s="127" t="s">
        <v>570</v>
      </c>
      <c r="C307" s="127" t="s">
        <v>18</v>
      </c>
      <c r="D307" s="123" t="s">
        <v>44</v>
      </c>
      <c r="E307" s="137" t="s">
        <v>27</v>
      </c>
      <c r="F307" s="125" t="s">
        <v>21</v>
      </c>
      <c r="G307" s="177">
        <v>15804306281</v>
      </c>
      <c r="H307" s="126"/>
      <c r="I307" s="135"/>
      <c r="J307" s="135"/>
      <c r="K307" s="135"/>
      <c r="L307" s="125"/>
      <c r="M307" s="215"/>
      <c r="N307" s="261"/>
      <c r="O307" s="261"/>
    </row>
    <row r="308" s="94" customFormat="1" ht="21.75" customHeight="1" spans="1:15">
      <c r="A308" s="122">
        <v>307</v>
      </c>
      <c r="B308" s="141" t="s">
        <v>571</v>
      </c>
      <c r="C308" s="141" t="s">
        <v>18</v>
      </c>
      <c r="D308" s="137" t="s">
        <v>118</v>
      </c>
      <c r="E308" s="137" t="s">
        <v>119</v>
      </c>
      <c r="F308" s="139" t="s">
        <v>21</v>
      </c>
      <c r="G308" s="251">
        <v>18600966008</v>
      </c>
      <c r="H308" s="142">
        <v>42780</v>
      </c>
      <c r="I308" s="142">
        <f>EDATE(H308,36)</f>
        <v>43875</v>
      </c>
      <c r="J308" s="148">
        <f ca="1">ROUND(I308-NOW(),0)</f>
        <v>-2177</v>
      </c>
      <c r="K308" s="139"/>
      <c r="L308" s="139"/>
      <c r="M308" s="137"/>
    </row>
    <row r="309" s="94" customFormat="1" ht="21.75" customHeight="1" spans="1:15">
      <c r="A309" s="122">
        <v>308</v>
      </c>
      <c r="B309" s="141" t="s">
        <v>572</v>
      </c>
      <c r="C309" s="141" t="s">
        <v>36</v>
      </c>
      <c r="D309" s="137" t="s">
        <v>565</v>
      </c>
      <c r="E309" s="137" t="s">
        <v>453</v>
      </c>
      <c r="F309" s="139" t="s">
        <v>21</v>
      </c>
      <c r="G309" s="251">
        <v>13810017452</v>
      </c>
      <c r="H309" s="142">
        <v>42795</v>
      </c>
      <c r="I309" s="142">
        <f>EDATE(H309,36)</f>
        <v>43891</v>
      </c>
      <c r="J309" s="148">
        <f ca="1">ROUND(I309-NOW(),0)</f>
        <v>-2161</v>
      </c>
      <c r="K309" s="139"/>
      <c r="L309" s="139"/>
      <c r="M309" s="137"/>
    </row>
    <row r="310" s="94" customFormat="1" ht="21.75" customHeight="1" spans="1:15">
      <c r="A310" s="122">
        <v>309</v>
      </c>
      <c r="B310" s="141" t="s">
        <v>573</v>
      </c>
      <c r="C310" s="141" t="s">
        <v>36</v>
      </c>
      <c r="D310" s="137" t="s">
        <v>86</v>
      </c>
      <c r="E310" s="137" t="s">
        <v>20</v>
      </c>
      <c r="F310" s="139" t="s">
        <v>21</v>
      </c>
      <c r="G310" s="251">
        <v>15801600535</v>
      </c>
      <c r="H310" s="142">
        <v>42795</v>
      </c>
      <c r="I310" s="142">
        <f>EDATE(H310,36)</f>
        <v>43891</v>
      </c>
      <c r="J310" s="148">
        <f ca="1">ROUND(I310-NOW(),0)</f>
        <v>-2161</v>
      </c>
      <c r="K310" s="139"/>
      <c r="L310" s="139"/>
      <c r="M310" s="137"/>
    </row>
    <row r="311" s="94" customFormat="1" ht="21.75" customHeight="1" spans="1:15">
      <c r="A311" s="122">
        <v>310</v>
      </c>
      <c r="B311" s="127" t="s">
        <v>574</v>
      </c>
      <c r="C311" s="127" t="s">
        <v>205</v>
      </c>
      <c r="D311" s="127" t="s">
        <v>170</v>
      </c>
      <c r="E311" s="137" t="s">
        <v>27</v>
      </c>
      <c r="F311" s="125" t="s">
        <v>21</v>
      </c>
      <c r="G311" s="177">
        <v>17888826169</v>
      </c>
      <c r="H311" s="126"/>
      <c r="I311" s="135"/>
      <c r="J311" s="135"/>
      <c r="K311" s="135"/>
      <c r="L311" s="125"/>
      <c r="M311" s="215"/>
      <c r="N311" s="261"/>
      <c r="O311" s="261"/>
    </row>
    <row r="312" s="94" customFormat="1" ht="21.75" customHeight="1" spans="1:15">
      <c r="A312" s="122">
        <v>311</v>
      </c>
      <c r="B312" s="127" t="s">
        <v>575</v>
      </c>
      <c r="C312" s="127" t="s">
        <v>205</v>
      </c>
      <c r="D312" s="127" t="s">
        <v>170</v>
      </c>
      <c r="E312" s="137" t="s">
        <v>27</v>
      </c>
      <c r="F312" s="125" t="s">
        <v>21</v>
      </c>
      <c r="G312" s="177">
        <v>18811793360</v>
      </c>
      <c r="H312" s="126"/>
      <c r="I312" s="135"/>
      <c r="J312" s="135"/>
      <c r="K312" s="135"/>
      <c r="L312" s="125"/>
      <c r="M312" s="215"/>
      <c r="N312" s="261"/>
      <c r="O312" s="261"/>
    </row>
    <row r="313" s="94" customFormat="1" ht="21.75" customHeight="1" spans="1:15">
      <c r="A313" s="122">
        <v>312</v>
      </c>
      <c r="B313" s="127" t="s">
        <v>576</v>
      </c>
      <c r="C313" s="127" t="s">
        <v>224</v>
      </c>
      <c r="D313" s="127" t="s">
        <v>225</v>
      </c>
      <c r="E313" s="127" t="s">
        <v>27</v>
      </c>
      <c r="F313" s="125" t="s">
        <v>21</v>
      </c>
      <c r="G313" s="177">
        <v>15232178626</v>
      </c>
      <c r="H313" s="126"/>
      <c r="I313" s="135"/>
      <c r="J313" s="135"/>
      <c r="K313" s="135"/>
      <c r="L313" s="125"/>
      <c r="M313" s="215"/>
      <c r="N313" s="261"/>
      <c r="O313" s="261"/>
    </row>
    <row r="314" s="94" customFormat="1" ht="21.75" customHeight="1" spans="1:15">
      <c r="A314" s="122">
        <v>313</v>
      </c>
      <c r="B314" s="141" t="s">
        <v>577</v>
      </c>
      <c r="C314" s="141" t="s">
        <v>61</v>
      </c>
      <c r="D314" s="137" t="s">
        <v>578</v>
      </c>
      <c r="E314" s="137" t="s">
        <v>20</v>
      </c>
      <c r="F314" s="139" t="s">
        <v>21</v>
      </c>
      <c r="G314" s="251">
        <v>18610099699</v>
      </c>
      <c r="H314" s="142">
        <v>42786</v>
      </c>
      <c r="I314" s="142">
        <f>EDATE(H314,36)</f>
        <v>43881</v>
      </c>
      <c r="J314" s="148">
        <f ca="1">ROUND(I314-NOW(),0)</f>
        <v>-2171</v>
      </c>
      <c r="K314" s="139"/>
      <c r="L314" s="139"/>
      <c r="M314" s="137"/>
    </row>
    <row r="315" s="94" customFormat="1" ht="21.75" customHeight="1" spans="1:15">
      <c r="A315" s="122">
        <v>314</v>
      </c>
      <c r="B315" s="127" t="s">
        <v>579</v>
      </c>
      <c r="C315" s="127" t="s">
        <v>36</v>
      </c>
      <c r="D315" s="127" t="s">
        <v>106</v>
      </c>
      <c r="E315" s="137" t="s">
        <v>27</v>
      </c>
      <c r="F315" s="125" t="s">
        <v>21</v>
      </c>
      <c r="G315" s="177">
        <v>17098077233</v>
      </c>
      <c r="H315" s="126"/>
      <c r="I315" s="135"/>
      <c r="J315" s="135"/>
      <c r="K315" s="135"/>
      <c r="L315" s="125"/>
      <c r="M315" s="215"/>
      <c r="N315" s="261"/>
      <c r="O315" s="261"/>
    </row>
    <row r="316" s="94" customFormat="1" ht="21.75" customHeight="1" spans="1:15">
      <c r="A316" s="122">
        <v>315</v>
      </c>
      <c r="B316" s="127" t="s">
        <v>580</v>
      </c>
      <c r="C316" s="127" t="s">
        <v>205</v>
      </c>
      <c r="D316" s="127" t="s">
        <v>47</v>
      </c>
      <c r="E316" s="137" t="s">
        <v>27</v>
      </c>
      <c r="F316" s="125" t="s">
        <v>21</v>
      </c>
      <c r="G316" s="177">
        <v>18917379365</v>
      </c>
      <c r="H316" s="126"/>
      <c r="I316" s="135"/>
      <c r="J316" s="135"/>
      <c r="K316" s="135"/>
      <c r="L316" s="125"/>
      <c r="M316" s="215"/>
      <c r="N316" s="261"/>
      <c r="O316" s="261"/>
    </row>
    <row r="317" s="94" customFormat="1" ht="21.75" customHeight="1" spans="1:15">
      <c r="A317" s="122">
        <v>316</v>
      </c>
      <c r="B317" s="141" t="s">
        <v>581</v>
      </c>
      <c r="C317" s="141" t="s">
        <v>36</v>
      </c>
      <c r="D317" s="137" t="s">
        <v>86</v>
      </c>
      <c r="E317" s="137" t="s">
        <v>97</v>
      </c>
      <c r="F317" s="139" t="s">
        <v>21</v>
      </c>
      <c r="G317" s="251">
        <v>18911056166</v>
      </c>
      <c r="H317" s="142">
        <v>42793</v>
      </c>
      <c r="I317" s="142">
        <f>EDATE(H317,36)</f>
        <v>43888</v>
      </c>
      <c r="J317" s="148">
        <f ca="1">ROUND(I317-NOW(),0)</f>
        <v>-2164</v>
      </c>
      <c r="K317" s="139"/>
      <c r="L317" s="139"/>
      <c r="M317" s="137"/>
    </row>
    <row r="318" s="94" customFormat="1" ht="21.75" customHeight="1" spans="1:15">
      <c r="A318" s="122">
        <v>317</v>
      </c>
      <c r="B318" s="141" t="s">
        <v>582</v>
      </c>
      <c r="C318" s="141" t="s">
        <v>224</v>
      </c>
      <c r="D318" s="141" t="s">
        <v>225</v>
      </c>
      <c r="E318" s="137" t="s">
        <v>226</v>
      </c>
      <c r="F318" s="139" t="s">
        <v>21</v>
      </c>
      <c r="G318" s="251">
        <v>18510081838</v>
      </c>
      <c r="H318" s="142">
        <v>42793</v>
      </c>
      <c r="I318" s="142">
        <f>EDATE(H318,36)</f>
        <v>43888</v>
      </c>
      <c r="J318" s="148">
        <f ca="1">ROUND(I318-NOW(),0)</f>
        <v>-2164</v>
      </c>
      <c r="K318" s="139"/>
      <c r="L318" s="139"/>
      <c r="M318" s="137"/>
    </row>
    <row r="319" s="94" customFormat="1" ht="21.75" customHeight="1" spans="1:15">
      <c r="A319" s="122">
        <v>318</v>
      </c>
      <c r="B319" s="141" t="s">
        <v>583</v>
      </c>
      <c r="C319" s="141" t="s">
        <v>18</v>
      </c>
      <c r="D319" s="137" t="s">
        <v>433</v>
      </c>
      <c r="E319" s="137" t="s">
        <v>45</v>
      </c>
      <c r="F319" s="139" t="s">
        <v>21</v>
      </c>
      <c r="G319" s="251">
        <v>13811947958</v>
      </c>
      <c r="H319" s="142">
        <v>42793</v>
      </c>
      <c r="I319" s="142">
        <f>EDATE(H319,36)</f>
        <v>43888</v>
      </c>
      <c r="J319" s="148">
        <f ca="1">ROUND(I319-NOW(),0)</f>
        <v>-2164</v>
      </c>
      <c r="K319" s="139"/>
      <c r="L319" s="139"/>
      <c r="M319" s="137"/>
    </row>
    <row r="320" s="94" customFormat="1" ht="21.75" customHeight="1" spans="1:15">
      <c r="A320" s="122">
        <v>319</v>
      </c>
      <c r="B320" s="141" t="s">
        <v>584</v>
      </c>
      <c r="C320" s="141" t="s">
        <v>18</v>
      </c>
      <c r="D320" s="137" t="s">
        <v>58</v>
      </c>
      <c r="E320" s="137" t="s">
        <v>119</v>
      </c>
      <c r="F320" s="139" t="s">
        <v>21</v>
      </c>
      <c r="G320" s="251">
        <v>15901013540</v>
      </c>
      <c r="H320" s="142">
        <v>42793</v>
      </c>
      <c r="I320" s="142">
        <f>EDATE(H320,36)</f>
        <v>43888</v>
      </c>
      <c r="J320" s="148">
        <f ca="1">ROUND(I320-NOW(),0)</f>
        <v>-2164</v>
      </c>
      <c r="K320" s="139"/>
      <c r="L320" s="139"/>
      <c r="M320" s="137"/>
    </row>
    <row r="321" s="94" customFormat="1" ht="21.75" customHeight="1" spans="1:15">
      <c r="A321" s="122">
        <v>320</v>
      </c>
      <c r="B321" s="127" t="s">
        <v>585</v>
      </c>
      <c r="C321" s="127" t="s">
        <v>52</v>
      </c>
      <c r="D321" s="127" t="s">
        <v>94</v>
      </c>
      <c r="E321" s="137" t="s">
        <v>27</v>
      </c>
      <c r="F321" s="125" t="s">
        <v>21</v>
      </c>
      <c r="G321" s="177">
        <v>13051800191</v>
      </c>
      <c r="H321" s="126"/>
      <c r="I321" s="135"/>
      <c r="J321" s="135"/>
      <c r="K321" s="135"/>
      <c r="L321" s="125"/>
      <c r="M321" s="215"/>
      <c r="N321" s="261"/>
      <c r="O321" s="261"/>
    </row>
    <row r="322" s="94" customFormat="1" ht="21.75" customHeight="1" spans="1:15">
      <c r="A322" s="122">
        <v>321</v>
      </c>
      <c r="B322" s="270" t="s">
        <v>586</v>
      </c>
      <c r="C322" s="270" t="s">
        <v>18</v>
      </c>
      <c r="D322" s="272" t="s">
        <v>58</v>
      </c>
      <c r="E322" s="137" t="s">
        <v>27</v>
      </c>
      <c r="F322" s="272" t="s">
        <v>21</v>
      </c>
      <c r="G322" s="279">
        <v>18957588906</v>
      </c>
      <c r="H322" s="274"/>
      <c r="I322" s="274"/>
      <c r="J322" s="275"/>
      <c r="K322" s="272"/>
      <c r="L322" s="272"/>
      <c r="M322" s="215"/>
      <c r="N322" s="261"/>
      <c r="O322" s="261"/>
    </row>
    <row r="323" s="94" customFormat="1" ht="21.75" customHeight="1" spans="1:15">
      <c r="A323" s="122">
        <v>322</v>
      </c>
      <c r="B323" s="141" t="s">
        <v>587</v>
      </c>
      <c r="C323" s="141" t="s">
        <v>205</v>
      </c>
      <c r="D323" s="141" t="s">
        <v>55</v>
      </c>
      <c r="E323" s="137" t="s">
        <v>65</v>
      </c>
      <c r="F323" s="139" t="s">
        <v>21</v>
      </c>
      <c r="G323" s="251">
        <v>18511251218</v>
      </c>
      <c r="H323" s="142">
        <v>42795</v>
      </c>
      <c r="I323" s="142">
        <f>EDATE(H323,36)</f>
        <v>43891</v>
      </c>
      <c r="J323" s="148">
        <f ca="1">ROUND(I323-NOW(),0)</f>
        <v>-2161</v>
      </c>
      <c r="K323" s="139"/>
      <c r="L323" s="139"/>
      <c r="M323" s="137"/>
    </row>
    <row r="324" s="94" customFormat="1" ht="21.75" customHeight="1" spans="1:15">
      <c r="A324" s="122">
        <v>323</v>
      </c>
      <c r="B324" s="141" t="s">
        <v>588</v>
      </c>
      <c r="C324" s="141" t="s">
        <v>52</v>
      </c>
      <c r="D324" s="141" t="s">
        <v>125</v>
      </c>
      <c r="E324" s="137" t="s">
        <v>589</v>
      </c>
      <c r="F324" s="139" t="s">
        <v>21</v>
      </c>
      <c r="G324" s="251">
        <v>15811335803</v>
      </c>
      <c r="H324" s="142">
        <v>42795</v>
      </c>
      <c r="I324" s="142">
        <f>EDATE(H324,36)</f>
        <v>43891</v>
      </c>
      <c r="J324" s="148">
        <f ca="1">ROUND(I324-NOW(),0)</f>
        <v>-2161</v>
      </c>
      <c r="K324" s="139"/>
      <c r="L324" s="139"/>
      <c r="M324" s="137"/>
    </row>
    <row r="325" s="94" customFormat="1" ht="21.75" customHeight="1" spans="1:15">
      <c r="A325" s="122">
        <v>324</v>
      </c>
      <c r="B325" s="141" t="s">
        <v>590</v>
      </c>
      <c r="C325" s="141" t="s">
        <v>36</v>
      </c>
      <c r="D325" s="141" t="s">
        <v>145</v>
      </c>
      <c r="E325" s="137" t="s">
        <v>591</v>
      </c>
      <c r="F325" s="139" t="s">
        <v>21</v>
      </c>
      <c r="G325" s="251">
        <v>13911885960</v>
      </c>
      <c r="H325" s="142">
        <v>42795</v>
      </c>
      <c r="I325" s="142">
        <f>EDATE(H325,36)</f>
        <v>43891</v>
      </c>
      <c r="J325" s="148">
        <f ca="1">ROUND(I325-NOW(),0)</f>
        <v>-2161</v>
      </c>
      <c r="K325" s="139"/>
      <c r="L325" s="139"/>
      <c r="M325" s="137"/>
    </row>
    <row r="326" s="94" customFormat="1" ht="21.75" customHeight="1" spans="1:15">
      <c r="A326" s="122">
        <v>325</v>
      </c>
      <c r="B326" s="127" t="s">
        <v>592</v>
      </c>
      <c r="C326" s="127" t="s">
        <v>78</v>
      </c>
      <c r="D326" s="127" t="s">
        <v>79</v>
      </c>
      <c r="E326" s="137" t="s">
        <v>27</v>
      </c>
      <c r="F326" s="125" t="s">
        <v>21</v>
      </c>
      <c r="G326" s="177">
        <v>17839917689</v>
      </c>
      <c r="H326" s="126"/>
      <c r="I326" s="135"/>
      <c r="J326" s="135"/>
      <c r="K326" s="135"/>
      <c r="L326" s="125"/>
      <c r="M326" s="215"/>
      <c r="N326" s="261"/>
      <c r="O326" s="261"/>
    </row>
    <row r="327" s="94" customFormat="1" ht="21.75" customHeight="1" spans="1:15">
      <c r="A327" s="122">
        <v>326</v>
      </c>
      <c r="B327" s="270" t="s">
        <v>593</v>
      </c>
      <c r="C327" s="270" t="s">
        <v>18</v>
      </c>
      <c r="D327" s="270" t="s">
        <v>118</v>
      </c>
      <c r="E327" s="137" t="s">
        <v>27</v>
      </c>
      <c r="F327" s="272" t="s">
        <v>21</v>
      </c>
      <c r="G327" s="279">
        <v>15553898125</v>
      </c>
      <c r="H327" s="274"/>
      <c r="I327" s="274"/>
      <c r="J327" s="275"/>
      <c r="K327" s="272"/>
      <c r="L327" s="272"/>
      <c r="M327" s="215"/>
      <c r="N327" s="261"/>
      <c r="O327" s="261"/>
    </row>
    <row r="328" s="94" customFormat="1" ht="21.75" customHeight="1" spans="1:15">
      <c r="A328" s="122">
        <v>327</v>
      </c>
      <c r="B328" s="270" t="s">
        <v>594</v>
      </c>
      <c r="C328" s="270" t="s">
        <v>18</v>
      </c>
      <c r="D328" s="270" t="s">
        <v>91</v>
      </c>
      <c r="E328" s="137" t="s">
        <v>27</v>
      </c>
      <c r="F328" s="272" t="s">
        <v>21</v>
      </c>
      <c r="G328" s="279">
        <v>13656013236</v>
      </c>
      <c r="H328" s="274"/>
      <c r="I328" s="274"/>
      <c r="J328" s="275"/>
      <c r="K328" s="272"/>
      <c r="L328" s="272"/>
      <c r="M328" s="215"/>
      <c r="N328" s="261"/>
      <c r="O328" s="261"/>
    </row>
    <row r="329" s="94" customFormat="1" ht="21.75" customHeight="1" spans="1:15">
      <c r="A329" s="122">
        <v>328</v>
      </c>
      <c r="B329" s="127" t="s">
        <v>595</v>
      </c>
      <c r="C329" s="127" t="s">
        <v>78</v>
      </c>
      <c r="D329" s="282" t="s">
        <v>196</v>
      </c>
      <c r="E329" s="137" t="s">
        <v>27</v>
      </c>
      <c r="F329" s="125" t="s">
        <v>21</v>
      </c>
      <c r="G329" s="177">
        <v>18811305217</v>
      </c>
      <c r="H329" s="126"/>
      <c r="I329" s="135"/>
      <c r="J329" s="135"/>
      <c r="K329" s="135"/>
      <c r="L329" s="125"/>
      <c r="M329" s="215"/>
      <c r="N329" s="261"/>
      <c r="O329" s="261"/>
    </row>
    <row r="330" s="94" customFormat="1" ht="21.75" customHeight="1" spans="1:15">
      <c r="A330" s="122">
        <v>329</v>
      </c>
      <c r="B330" s="270" t="s">
        <v>596</v>
      </c>
      <c r="C330" s="270" t="s">
        <v>18</v>
      </c>
      <c r="D330" s="272" t="s">
        <v>58</v>
      </c>
      <c r="E330" s="137" t="s">
        <v>27</v>
      </c>
      <c r="F330" s="272" t="s">
        <v>21</v>
      </c>
      <c r="G330" s="279">
        <v>13851745632</v>
      </c>
      <c r="H330" s="274"/>
      <c r="I330" s="274"/>
      <c r="J330" s="275"/>
      <c r="K330" s="272"/>
      <c r="L330" s="272"/>
      <c r="M330" s="215"/>
      <c r="N330" s="261"/>
      <c r="O330" s="261"/>
    </row>
    <row r="331" s="94" customFormat="1" ht="21.75" customHeight="1" spans="1:15">
      <c r="A331" s="122">
        <v>330</v>
      </c>
      <c r="B331" s="141" t="s">
        <v>597</v>
      </c>
      <c r="C331" s="141" t="s">
        <v>78</v>
      </c>
      <c r="D331" s="141" t="s">
        <v>73</v>
      </c>
      <c r="E331" s="137" t="s">
        <v>347</v>
      </c>
      <c r="F331" s="139" t="s">
        <v>352</v>
      </c>
      <c r="G331" s="251">
        <v>13760257985</v>
      </c>
      <c r="H331" s="142">
        <v>42800</v>
      </c>
      <c r="I331" s="142">
        <f>EDATE(H331,36)</f>
        <v>43896</v>
      </c>
      <c r="J331" s="148">
        <f ca="1">ROUND(I331-NOW(),0)</f>
        <v>-2156</v>
      </c>
      <c r="K331" s="139"/>
      <c r="L331" s="139"/>
      <c r="M331" s="137"/>
    </row>
    <row r="332" s="94" customFormat="1" ht="21.75" customHeight="1" spans="1:15">
      <c r="A332" s="122">
        <v>331</v>
      </c>
      <c r="B332" s="141" t="s">
        <v>598</v>
      </c>
      <c r="C332" s="141" t="s">
        <v>52</v>
      </c>
      <c r="D332" s="141" t="s">
        <v>194</v>
      </c>
      <c r="E332" s="137" t="s">
        <v>234</v>
      </c>
      <c r="F332" s="139" t="s">
        <v>21</v>
      </c>
      <c r="G332" s="251">
        <v>15201516749</v>
      </c>
      <c r="H332" s="142">
        <v>42802</v>
      </c>
      <c r="I332" s="142">
        <f>EDATE(H332,36)</f>
        <v>43898</v>
      </c>
      <c r="J332" s="148">
        <f ca="1">ROUND(I332-NOW(),0)</f>
        <v>-2154</v>
      </c>
      <c r="K332" s="139"/>
      <c r="L332" s="139"/>
      <c r="M332" s="137"/>
    </row>
    <row r="333" s="94" customFormat="1" ht="21.75" customHeight="1" spans="1:15">
      <c r="A333" s="122">
        <v>332</v>
      </c>
      <c r="B333" s="270" t="s">
        <v>599</v>
      </c>
      <c r="C333" s="270" t="s">
        <v>18</v>
      </c>
      <c r="D333" s="272" t="s">
        <v>29</v>
      </c>
      <c r="E333" s="137" t="s">
        <v>27</v>
      </c>
      <c r="F333" s="272" t="s">
        <v>21</v>
      </c>
      <c r="G333" s="279">
        <v>15005535657</v>
      </c>
      <c r="H333" s="274"/>
      <c r="I333" s="274"/>
      <c r="J333" s="275"/>
      <c r="K333" s="272"/>
      <c r="L333" s="272"/>
      <c r="M333" s="215"/>
      <c r="N333" s="261"/>
      <c r="O333" s="261"/>
    </row>
    <row r="334" s="94" customFormat="1" ht="21.75" customHeight="1" spans="1:15">
      <c r="A334" s="122">
        <v>333</v>
      </c>
      <c r="B334" s="127" t="s">
        <v>600</v>
      </c>
      <c r="C334" s="127" t="s">
        <v>205</v>
      </c>
      <c r="D334" s="282" t="s">
        <v>26</v>
      </c>
      <c r="E334" s="137" t="s">
        <v>27</v>
      </c>
      <c r="F334" s="125" t="s">
        <v>21</v>
      </c>
      <c r="G334" s="177">
        <v>18852145956</v>
      </c>
      <c r="H334" s="126"/>
      <c r="I334" s="135"/>
      <c r="J334" s="135"/>
      <c r="K334" s="135"/>
      <c r="L334" s="125"/>
      <c r="M334" s="215"/>
      <c r="N334" s="261"/>
      <c r="O334" s="261"/>
    </row>
    <row r="335" s="94" customFormat="1" ht="21.75" customHeight="1" spans="1:15">
      <c r="A335" s="122">
        <v>334</v>
      </c>
      <c r="B335" s="141" t="s">
        <v>601</v>
      </c>
      <c r="C335" s="141" t="s">
        <v>36</v>
      </c>
      <c r="D335" s="137" t="s">
        <v>106</v>
      </c>
      <c r="E335" s="137" t="s">
        <v>65</v>
      </c>
      <c r="F335" s="139" t="s">
        <v>21</v>
      </c>
      <c r="G335" s="251">
        <v>15399402855</v>
      </c>
      <c r="H335" s="142">
        <v>42804</v>
      </c>
      <c r="I335" s="142">
        <f>EDATE(H335,36)</f>
        <v>43900</v>
      </c>
      <c r="J335" s="148">
        <f ca="1">ROUND(I335-NOW(),0)</f>
        <v>-2152</v>
      </c>
      <c r="K335" s="139"/>
      <c r="L335" s="139"/>
      <c r="M335" s="137"/>
    </row>
    <row r="336" s="94" customFormat="1" ht="21.75" customHeight="1" spans="1:15">
      <c r="A336" s="122">
        <v>335</v>
      </c>
      <c r="B336" s="141" t="s">
        <v>602</v>
      </c>
      <c r="C336" s="141" t="s">
        <v>205</v>
      </c>
      <c r="D336" s="141" t="s">
        <v>47</v>
      </c>
      <c r="E336" s="137" t="s">
        <v>65</v>
      </c>
      <c r="F336" s="139" t="s">
        <v>21</v>
      </c>
      <c r="G336" s="251">
        <v>13522683252</v>
      </c>
      <c r="H336" s="142">
        <v>42808</v>
      </c>
      <c r="I336" s="142">
        <f>EDATE(H336,36)</f>
        <v>43904</v>
      </c>
      <c r="J336" s="148">
        <f ca="1">ROUND(I336-NOW(),0)</f>
        <v>-2148</v>
      </c>
      <c r="K336" s="139"/>
      <c r="L336" s="139"/>
      <c r="M336" s="137"/>
    </row>
    <row r="337" s="94" customFormat="1" ht="21.75" customHeight="1" spans="1:15">
      <c r="A337" s="122">
        <v>336</v>
      </c>
      <c r="B337" s="270" t="s">
        <v>603</v>
      </c>
      <c r="C337" s="270" t="s">
        <v>18</v>
      </c>
      <c r="D337" s="270" t="s">
        <v>91</v>
      </c>
      <c r="E337" s="137" t="s">
        <v>18</v>
      </c>
      <c r="F337" s="272" t="s">
        <v>21</v>
      </c>
      <c r="G337" s="279">
        <v>15201523233</v>
      </c>
      <c r="H337" s="274"/>
      <c r="I337" s="274"/>
      <c r="J337" s="275"/>
      <c r="K337" s="272"/>
      <c r="L337" s="272"/>
      <c r="M337" s="215"/>
      <c r="N337" s="261"/>
      <c r="O337" s="261"/>
    </row>
    <row r="338" s="94" customFormat="1" ht="21.75" customHeight="1" spans="1:15">
      <c r="A338" s="122">
        <v>337</v>
      </c>
      <c r="B338" s="141" t="s">
        <v>604</v>
      </c>
      <c r="C338" s="141" t="s">
        <v>78</v>
      </c>
      <c r="D338" s="141" t="s">
        <v>79</v>
      </c>
      <c r="E338" s="137" t="s">
        <v>404</v>
      </c>
      <c r="F338" s="139" t="s">
        <v>21</v>
      </c>
      <c r="G338" s="251">
        <v>13488868915</v>
      </c>
      <c r="H338" s="142">
        <v>42807</v>
      </c>
      <c r="I338" s="142">
        <f t="shared" ref="I338:I347" si="25">EDATE(H338,36)</f>
        <v>43903</v>
      </c>
      <c r="J338" s="148">
        <f ca="1" t="shared" ref="J338:J347" si="26">ROUND(I338-NOW(),0)</f>
        <v>-2149</v>
      </c>
      <c r="K338" s="139"/>
      <c r="L338" s="139"/>
      <c r="M338" s="137"/>
    </row>
    <row r="339" s="94" customFormat="1" ht="21.75" customHeight="1" spans="1:15">
      <c r="A339" s="122">
        <v>338</v>
      </c>
      <c r="B339" s="141" t="s">
        <v>605</v>
      </c>
      <c r="C339" s="141" t="s">
        <v>205</v>
      </c>
      <c r="D339" s="141" t="s">
        <v>47</v>
      </c>
      <c r="E339" s="137" t="s">
        <v>56</v>
      </c>
      <c r="F339" s="139" t="s">
        <v>21</v>
      </c>
      <c r="G339" s="251">
        <v>18668946643</v>
      </c>
      <c r="H339" s="142">
        <v>42807</v>
      </c>
      <c r="I339" s="142">
        <f t="shared" si="25"/>
        <v>43903</v>
      </c>
      <c r="J339" s="148">
        <f ca="1" t="shared" si="26"/>
        <v>-2149</v>
      </c>
      <c r="K339" s="139"/>
      <c r="L339" s="139"/>
      <c r="M339" s="137"/>
    </row>
    <row r="340" s="94" customFormat="1" ht="21.75" customHeight="1" spans="1:15">
      <c r="A340" s="122">
        <v>339</v>
      </c>
      <c r="B340" s="141" t="s">
        <v>606</v>
      </c>
      <c r="C340" s="141" t="s">
        <v>205</v>
      </c>
      <c r="D340" s="141" t="s">
        <v>26</v>
      </c>
      <c r="E340" s="137" t="s">
        <v>208</v>
      </c>
      <c r="F340" s="139" t="s">
        <v>21</v>
      </c>
      <c r="G340" s="251">
        <v>18610720623</v>
      </c>
      <c r="H340" s="142">
        <v>42808</v>
      </c>
      <c r="I340" s="142">
        <f t="shared" si="25"/>
        <v>43904</v>
      </c>
      <c r="J340" s="148">
        <f ca="1" t="shared" si="26"/>
        <v>-2148</v>
      </c>
      <c r="K340" s="139"/>
      <c r="L340" s="139"/>
      <c r="M340" s="137"/>
    </row>
    <row r="341" s="94" customFormat="1" ht="21.75" customHeight="1" spans="1:15">
      <c r="A341" s="122">
        <v>340</v>
      </c>
      <c r="B341" s="141" t="s">
        <v>607</v>
      </c>
      <c r="C341" s="141" t="s">
        <v>36</v>
      </c>
      <c r="D341" s="141" t="s">
        <v>86</v>
      </c>
      <c r="E341" s="137" t="s">
        <v>276</v>
      </c>
      <c r="F341" s="139" t="s">
        <v>21</v>
      </c>
      <c r="G341" s="251">
        <v>18911975755</v>
      </c>
      <c r="H341" s="142">
        <v>42808</v>
      </c>
      <c r="I341" s="142">
        <f t="shared" si="25"/>
        <v>43904</v>
      </c>
      <c r="J341" s="148">
        <f ca="1" t="shared" si="26"/>
        <v>-2148</v>
      </c>
      <c r="K341" s="139"/>
      <c r="L341" s="139"/>
      <c r="M341" s="137"/>
    </row>
    <row r="342" s="94" customFormat="1" ht="21.75" customHeight="1" spans="1:15">
      <c r="A342" s="122">
        <v>341</v>
      </c>
      <c r="B342" s="141" t="s">
        <v>608</v>
      </c>
      <c r="C342" s="141" t="s">
        <v>36</v>
      </c>
      <c r="D342" s="141" t="s">
        <v>86</v>
      </c>
      <c r="E342" s="137" t="s">
        <v>87</v>
      </c>
      <c r="F342" s="139" t="s">
        <v>21</v>
      </c>
      <c r="G342" s="251">
        <v>15194950864</v>
      </c>
      <c r="H342" s="142">
        <v>42809</v>
      </c>
      <c r="I342" s="142">
        <f t="shared" si="25"/>
        <v>43905</v>
      </c>
      <c r="J342" s="148">
        <f ca="1" t="shared" si="26"/>
        <v>-2147</v>
      </c>
      <c r="K342" s="139"/>
      <c r="L342" s="139"/>
      <c r="M342" s="137"/>
    </row>
    <row r="343" s="94" customFormat="1" ht="21.75" customHeight="1" spans="1:15">
      <c r="A343" s="122">
        <v>342</v>
      </c>
      <c r="B343" s="141" t="s">
        <v>609</v>
      </c>
      <c r="C343" s="141" t="s">
        <v>36</v>
      </c>
      <c r="D343" s="141" t="s">
        <v>86</v>
      </c>
      <c r="E343" s="137" t="s">
        <v>87</v>
      </c>
      <c r="F343" s="139" t="s">
        <v>21</v>
      </c>
      <c r="G343" s="251">
        <v>18600204284</v>
      </c>
      <c r="H343" s="142">
        <v>42809</v>
      </c>
      <c r="I343" s="142">
        <f t="shared" si="25"/>
        <v>43905</v>
      </c>
      <c r="J343" s="148">
        <f ca="1" t="shared" si="26"/>
        <v>-2147</v>
      </c>
      <c r="K343" s="139"/>
      <c r="L343" s="139"/>
      <c r="M343" s="137"/>
    </row>
    <row r="344" s="94" customFormat="1" ht="21.75" customHeight="1" spans="1:15">
      <c r="A344" s="122">
        <v>343</v>
      </c>
      <c r="B344" s="141" t="s">
        <v>610</v>
      </c>
      <c r="C344" s="141" t="s">
        <v>36</v>
      </c>
      <c r="D344" s="141" t="s">
        <v>86</v>
      </c>
      <c r="E344" s="137" t="s">
        <v>276</v>
      </c>
      <c r="F344" s="139" t="s">
        <v>21</v>
      </c>
      <c r="G344" s="251">
        <v>13701378161</v>
      </c>
      <c r="H344" s="142">
        <v>42810</v>
      </c>
      <c r="I344" s="142">
        <f t="shared" si="25"/>
        <v>43906</v>
      </c>
      <c r="J344" s="148">
        <f ca="1" t="shared" si="26"/>
        <v>-2146</v>
      </c>
      <c r="K344" s="139"/>
      <c r="L344" s="139"/>
      <c r="M344" s="137"/>
    </row>
    <row r="345" s="94" customFormat="1" ht="21.75" customHeight="1" spans="1:15">
      <c r="A345" s="122">
        <v>344</v>
      </c>
      <c r="B345" s="141" t="s">
        <v>611</v>
      </c>
      <c r="C345" s="141" t="s">
        <v>78</v>
      </c>
      <c r="D345" s="137" t="s">
        <v>196</v>
      </c>
      <c r="E345" s="137" t="s">
        <v>219</v>
      </c>
      <c r="F345" s="139" t="s">
        <v>352</v>
      </c>
      <c r="G345" s="251">
        <v>13717007179</v>
      </c>
      <c r="H345" s="142">
        <v>42814</v>
      </c>
      <c r="I345" s="142">
        <f t="shared" si="25"/>
        <v>43910</v>
      </c>
      <c r="J345" s="148">
        <f ca="1" t="shared" si="26"/>
        <v>-2142</v>
      </c>
      <c r="K345" s="139"/>
      <c r="L345" s="139"/>
      <c r="M345" s="137"/>
    </row>
    <row r="346" s="94" customFormat="1" ht="21.75" customHeight="1" spans="1:15">
      <c r="A346" s="122">
        <v>345</v>
      </c>
      <c r="B346" s="141" t="s">
        <v>612</v>
      </c>
      <c r="C346" s="141" t="s">
        <v>205</v>
      </c>
      <c r="D346" s="137" t="s">
        <v>114</v>
      </c>
      <c r="E346" s="137" t="s">
        <v>181</v>
      </c>
      <c r="F346" s="139" t="s">
        <v>21</v>
      </c>
      <c r="G346" s="251">
        <v>15652849928</v>
      </c>
      <c r="H346" s="142">
        <v>42814</v>
      </c>
      <c r="I346" s="142">
        <f t="shared" si="25"/>
        <v>43910</v>
      </c>
      <c r="J346" s="148">
        <f ca="1" t="shared" si="26"/>
        <v>-2142</v>
      </c>
      <c r="K346" s="139"/>
      <c r="L346" s="139"/>
      <c r="M346" s="137"/>
    </row>
    <row r="347" s="94" customFormat="1" ht="21.75" customHeight="1" spans="1:15">
      <c r="A347" s="122">
        <v>346</v>
      </c>
      <c r="B347" s="141" t="s">
        <v>613</v>
      </c>
      <c r="C347" s="141" t="s">
        <v>36</v>
      </c>
      <c r="D347" s="137" t="s">
        <v>196</v>
      </c>
      <c r="E347" s="137" t="s">
        <v>20</v>
      </c>
      <c r="F347" s="139" t="s">
        <v>21</v>
      </c>
      <c r="G347" s="251">
        <v>13810017929</v>
      </c>
      <c r="H347" s="142">
        <v>42816</v>
      </c>
      <c r="I347" s="142">
        <f t="shared" si="25"/>
        <v>43912</v>
      </c>
      <c r="J347" s="148">
        <f ca="1" t="shared" si="26"/>
        <v>-2140</v>
      </c>
      <c r="K347" s="139"/>
      <c r="L347" s="139"/>
      <c r="M347" s="137"/>
    </row>
    <row r="348" s="94" customFormat="1" ht="21.75" customHeight="1" spans="1:15">
      <c r="A348" s="122">
        <v>347</v>
      </c>
      <c r="B348" s="127" t="s">
        <v>614</v>
      </c>
      <c r="C348" s="127" t="s">
        <v>18</v>
      </c>
      <c r="D348" s="137" t="s">
        <v>58</v>
      </c>
      <c r="E348" s="137" t="s">
        <v>27</v>
      </c>
      <c r="F348" s="125" t="s">
        <v>21</v>
      </c>
      <c r="G348" s="177">
        <v>18810569434</v>
      </c>
      <c r="H348" s="126"/>
      <c r="I348" s="135"/>
      <c r="J348" s="135"/>
      <c r="K348" s="135"/>
      <c r="L348" s="125"/>
      <c r="M348" s="215"/>
      <c r="N348" s="261"/>
      <c r="O348" s="261"/>
    </row>
    <row r="349" s="94" customFormat="1" ht="21.75" customHeight="1" spans="1:15">
      <c r="A349" s="122">
        <v>348</v>
      </c>
      <c r="B349" s="141" t="s">
        <v>615</v>
      </c>
      <c r="C349" s="141" t="s">
        <v>36</v>
      </c>
      <c r="D349" s="137" t="s">
        <v>196</v>
      </c>
      <c r="E349" s="137" t="s">
        <v>276</v>
      </c>
      <c r="F349" s="139" t="s">
        <v>21</v>
      </c>
      <c r="G349" s="251">
        <v>18601356585</v>
      </c>
      <c r="H349" s="142">
        <v>42815</v>
      </c>
      <c r="I349" s="142">
        <f t="shared" ref="I349:I354" si="27">EDATE(H349,36)</f>
        <v>43911</v>
      </c>
      <c r="J349" s="148">
        <f ca="1" t="shared" ref="J349:J354" si="28">ROUND(I349-NOW(),0)</f>
        <v>-2141</v>
      </c>
      <c r="K349" s="139"/>
      <c r="L349" s="139"/>
      <c r="M349" s="137"/>
    </row>
    <row r="350" s="94" customFormat="1" ht="21.75" customHeight="1" spans="1:15">
      <c r="A350" s="122">
        <v>349</v>
      </c>
      <c r="B350" s="141" t="s">
        <v>616</v>
      </c>
      <c r="C350" s="141" t="s">
        <v>52</v>
      </c>
      <c r="D350" s="141" t="s">
        <v>194</v>
      </c>
      <c r="E350" s="137" t="s">
        <v>562</v>
      </c>
      <c r="F350" s="139" t="s">
        <v>227</v>
      </c>
      <c r="G350" s="251">
        <v>13957159343</v>
      </c>
      <c r="H350" s="142">
        <v>42815</v>
      </c>
      <c r="I350" s="142">
        <f t="shared" si="27"/>
        <v>43911</v>
      </c>
      <c r="J350" s="148">
        <f ca="1" t="shared" si="28"/>
        <v>-2141</v>
      </c>
      <c r="K350" s="139"/>
      <c r="L350" s="139"/>
      <c r="M350" s="137"/>
    </row>
    <row r="351" s="94" customFormat="1" ht="21.75" customHeight="1" spans="1:15">
      <c r="A351" s="122">
        <v>350</v>
      </c>
      <c r="B351" s="141" t="s">
        <v>617</v>
      </c>
      <c r="C351" s="141" t="s">
        <v>36</v>
      </c>
      <c r="D351" s="141" t="s">
        <v>86</v>
      </c>
      <c r="E351" s="137" t="s">
        <v>87</v>
      </c>
      <c r="F351" s="139" t="s">
        <v>21</v>
      </c>
      <c r="G351" s="251">
        <v>15101525598</v>
      </c>
      <c r="H351" s="142">
        <v>42815</v>
      </c>
      <c r="I351" s="142">
        <f t="shared" si="27"/>
        <v>43911</v>
      </c>
      <c r="J351" s="148">
        <f ca="1" t="shared" si="28"/>
        <v>-2141</v>
      </c>
      <c r="K351" s="139"/>
      <c r="L351" s="139"/>
      <c r="M351" s="137"/>
    </row>
    <row r="352" s="94" customFormat="1" ht="21.75" customHeight="1" spans="1:15">
      <c r="A352" s="122">
        <v>351</v>
      </c>
      <c r="B352" s="141" t="s">
        <v>618</v>
      </c>
      <c r="C352" s="141" t="s">
        <v>36</v>
      </c>
      <c r="D352" s="141" t="s">
        <v>86</v>
      </c>
      <c r="E352" s="137" t="s">
        <v>87</v>
      </c>
      <c r="F352" s="139" t="s">
        <v>21</v>
      </c>
      <c r="G352" s="251">
        <v>18612034009</v>
      </c>
      <c r="H352" s="142">
        <v>42816</v>
      </c>
      <c r="I352" s="142">
        <f t="shared" si="27"/>
        <v>43912</v>
      </c>
      <c r="J352" s="148">
        <f ca="1" t="shared" si="28"/>
        <v>-2140</v>
      </c>
      <c r="K352" s="139"/>
      <c r="L352" s="139"/>
      <c r="M352" s="137"/>
    </row>
    <row r="353" s="94" customFormat="1" ht="21.75" customHeight="1" spans="1:16">
      <c r="A353" s="122">
        <v>352</v>
      </c>
      <c r="B353" s="141" t="s">
        <v>619</v>
      </c>
      <c r="C353" s="141" t="s">
        <v>18</v>
      </c>
      <c r="D353" s="141" t="s">
        <v>118</v>
      </c>
      <c r="E353" s="137" t="s">
        <v>119</v>
      </c>
      <c r="F353" s="139" t="s">
        <v>21</v>
      </c>
      <c r="G353" s="251">
        <v>18519303601</v>
      </c>
      <c r="H353" s="142">
        <v>42816</v>
      </c>
      <c r="I353" s="142">
        <f t="shared" si="27"/>
        <v>43912</v>
      </c>
      <c r="J353" s="148">
        <f ca="1" t="shared" si="28"/>
        <v>-2140</v>
      </c>
      <c r="K353" s="139"/>
      <c r="L353" s="139"/>
      <c r="M353" s="137"/>
    </row>
    <row r="354" s="94" customFormat="1" ht="21.75" customHeight="1" spans="1:16">
      <c r="A354" s="122">
        <v>353</v>
      </c>
      <c r="B354" s="141" t="s">
        <v>620</v>
      </c>
      <c r="C354" s="141" t="s">
        <v>18</v>
      </c>
      <c r="D354" s="141" t="s">
        <v>44</v>
      </c>
      <c r="E354" s="137" t="s">
        <v>297</v>
      </c>
      <c r="F354" s="139" t="s">
        <v>21</v>
      </c>
      <c r="G354" s="251">
        <v>15600615670</v>
      </c>
      <c r="H354" s="142">
        <v>42816</v>
      </c>
      <c r="I354" s="142">
        <f t="shared" si="27"/>
        <v>43912</v>
      </c>
      <c r="J354" s="148">
        <f ca="1" t="shared" si="28"/>
        <v>-2140</v>
      </c>
      <c r="K354" s="139"/>
      <c r="L354" s="139"/>
      <c r="M354" s="137"/>
    </row>
    <row r="355" s="94" customFormat="1" ht="21.75" customHeight="1" spans="1:16">
      <c r="A355" s="122">
        <v>354</v>
      </c>
      <c r="B355" s="127" t="s">
        <v>621</v>
      </c>
      <c r="C355" s="127" t="s">
        <v>18</v>
      </c>
      <c r="D355" s="282" t="s">
        <v>118</v>
      </c>
      <c r="E355" s="137" t="s">
        <v>27</v>
      </c>
      <c r="F355" s="125" t="s">
        <v>21</v>
      </c>
      <c r="G355" s="177">
        <v>15600614105</v>
      </c>
      <c r="H355" s="126"/>
      <c r="I355" s="135"/>
      <c r="J355" s="135"/>
      <c r="K355" s="135"/>
      <c r="L355" s="125"/>
      <c r="M355" s="215"/>
      <c r="N355" s="261"/>
      <c r="O355" s="261"/>
    </row>
    <row r="356" s="94" customFormat="1" ht="21.75" customHeight="1" spans="1:16">
      <c r="A356" s="122">
        <v>355</v>
      </c>
      <c r="B356" s="141" t="s">
        <v>622</v>
      </c>
      <c r="C356" s="141" t="s">
        <v>36</v>
      </c>
      <c r="D356" s="137" t="s">
        <v>106</v>
      </c>
      <c r="E356" s="137" t="s">
        <v>56</v>
      </c>
      <c r="F356" s="139" t="s">
        <v>21</v>
      </c>
      <c r="G356" s="251">
        <v>15810539821</v>
      </c>
      <c r="H356" s="142">
        <v>42821</v>
      </c>
      <c r="I356" s="142">
        <f>EDATE(H356,36)</f>
        <v>43917</v>
      </c>
      <c r="J356" s="148">
        <f ca="1">ROUND(I356-NOW(),0)</f>
        <v>-2135</v>
      </c>
      <c r="K356" s="139"/>
      <c r="L356" s="139"/>
      <c r="M356" s="137"/>
    </row>
    <row r="357" s="94" customFormat="1" ht="21.75" customHeight="1" spans="1:16">
      <c r="A357" s="122">
        <v>356</v>
      </c>
      <c r="B357" s="141" t="s">
        <v>623</v>
      </c>
      <c r="C357" s="141" t="s">
        <v>36</v>
      </c>
      <c r="D357" s="141" t="s">
        <v>86</v>
      </c>
      <c r="E357" s="137" t="s">
        <v>87</v>
      </c>
      <c r="F357" s="139" t="s">
        <v>21</v>
      </c>
      <c r="G357" s="251">
        <v>17710659027</v>
      </c>
      <c r="H357" s="142">
        <v>42821</v>
      </c>
      <c r="I357" s="142">
        <f>EDATE(H357,36)</f>
        <v>43917</v>
      </c>
      <c r="J357" s="148">
        <f ca="1">ROUND(I357-NOW(),0)</f>
        <v>-2135</v>
      </c>
      <c r="K357" s="139"/>
      <c r="L357" s="139"/>
      <c r="M357" s="137"/>
    </row>
    <row r="358" s="94" customFormat="1" ht="21.75" customHeight="1" spans="1:16">
      <c r="A358" s="122">
        <v>357</v>
      </c>
      <c r="B358" s="141" t="s">
        <v>624</v>
      </c>
      <c r="C358" s="141" t="s">
        <v>243</v>
      </c>
      <c r="D358" s="141" t="s">
        <v>540</v>
      </c>
      <c r="E358" s="137" t="s">
        <v>245</v>
      </c>
      <c r="F358" s="139" t="s">
        <v>21</v>
      </c>
      <c r="G358" s="251">
        <v>18610144463</v>
      </c>
      <c r="H358" s="142">
        <v>42826</v>
      </c>
      <c r="I358" s="142">
        <f>EDATE(H358,36)</f>
        <v>43922</v>
      </c>
      <c r="J358" s="148">
        <f ca="1">ROUND(I358-NOW(),0)</f>
        <v>-2130</v>
      </c>
      <c r="K358" s="139"/>
      <c r="L358" s="139"/>
      <c r="M358" s="137"/>
    </row>
    <row r="359" s="94" customFormat="1" ht="21.75" customHeight="1" spans="1:16">
      <c r="A359" s="122">
        <v>358</v>
      </c>
      <c r="B359" s="127" t="s">
        <v>625</v>
      </c>
      <c r="C359" s="127" t="s">
        <v>18</v>
      </c>
      <c r="D359" s="282" t="s">
        <v>118</v>
      </c>
      <c r="E359" s="137" t="s">
        <v>27</v>
      </c>
      <c r="F359" s="125" t="s">
        <v>21</v>
      </c>
      <c r="G359" s="177">
        <v>18810301565</v>
      </c>
      <c r="H359" s="126"/>
      <c r="I359" s="135"/>
      <c r="J359" s="135"/>
      <c r="K359" s="135"/>
      <c r="L359" s="125"/>
      <c r="M359" s="215"/>
      <c r="N359" s="261"/>
      <c r="O359" s="261"/>
    </row>
    <row r="360" s="94" customFormat="1" ht="21.75" customHeight="1" spans="1:16">
      <c r="A360" s="122">
        <v>359</v>
      </c>
      <c r="B360" s="141" t="s">
        <v>626</v>
      </c>
      <c r="C360" s="141" t="s">
        <v>78</v>
      </c>
      <c r="D360" s="141" t="s">
        <v>556</v>
      </c>
      <c r="E360" s="137" t="s">
        <v>219</v>
      </c>
      <c r="F360" s="139" t="s">
        <v>21</v>
      </c>
      <c r="G360" s="251">
        <v>18910813530</v>
      </c>
      <c r="H360" s="142">
        <v>42823</v>
      </c>
      <c r="I360" s="142">
        <f>EDATE(H360,36)</f>
        <v>43919</v>
      </c>
      <c r="J360" s="148">
        <f ca="1">ROUND(I360-NOW(),0)</f>
        <v>-2133</v>
      </c>
      <c r="K360" s="139"/>
      <c r="L360" s="139"/>
      <c r="M360" s="137"/>
    </row>
    <row r="361" s="94" customFormat="1" ht="21.75" customHeight="1" spans="1:16">
      <c r="A361" s="122">
        <v>360</v>
      </c>
      <c r="B361" s="141" t="s">
        <v>627</v>
      </c>
      <c r="C361" s="141" t="s">
        <v>205</v>
      </c>
      <c r="D361" s="141" t="s">
        <v>289</v>
      </c>
      <c r="E361" s="137" t="s">
        <v>87</v>
      </c>
      <c r="F361" s="139" t="s">
        <v>21</v>
      </c>
      <c r="G361" s="251">
        <v>18511664499</v>
      </c>
      <c r="H361" s="142">
        <v>42823</v>
      </c>
      <c r="I361" s="142">
        <f>EDATE(H361,36)</f>
        <v>43919</v>
      </c>
      <c r="J361" s="148">
        <f ca="1">ROUND(I361-NOW(),0)</f>
        <v>-2133</v>
      </c>
      <c r="K361" s="139"/>
      <c r="L361" s="139"/>
      <c r="M361" s="137"/>
    </row>
    <row r="362" s="94" customFormat="1" ht="21.75" customHeight="1" spans="1:16">
      <c r="A362" s="122">
        <v>361</v>
      </c>
      <c r="B362" s="127" t="s">
        <v>628</v>
      </c>
      <c r="C362" s="127" t="s">
        <v>205</v>
      </c>
      <c r="D362" s="127" t="s">
        <v>55</v>
      </c>
      <c r="E362" s="137" t="s">
        <v>27</v>
      </c>
      <c r="F362" s="125" t="s">
        <v>21</v>
      </c>
      <c r="G362" s="177">
        <v>13717640979</v>
      </c>
      <c r="H362" s="126"/>
      <c r="I362" s="135"/>
      <c r="J362" s="135"/>
      <c r="K362" s="135"/>
      <c r="L362" s="125"/>
      <c r="M362" s="215"/>
      <c r="N362" s="261"/>
      <c r="O362" s="261"/>
    </row>
    <row r="363" s="94" customFormat="1" ht="21.75" customHeight="1" spans="1:16">
      <c r="A363" s="122">
        <v>362</v>
      </c>
      <c r="B363" s="141" t="s">
        <v>629</v>
      </c>
      <c r="C363" s="141" t="s">
        <v>205</v>
      </c>
      <c r="D363" s="141" t="s">
        <v>170</v>
      </c>
      <c r="E363" s="137" t="s">
        <v>239</v>
      </c>
      <c r="F363" s="139" t="s">
        <v>21</v>
      </c>
      <c r="G363" s="251">
        <v>13141322890</v>
      </c>
      <c r="H363" s="142">
        <v>42823</v>
      </c>
      <c r="I363" s="142">
        <f t="shared" ref="I363:I375" si="29">EDATE(H363,36)</f>
        <v>43919</v>
      </c>
      <c r="J363" s="148">
        <f ca="1" t="shared" ref="J363:J375" si="30">ROUND(I363-NOW(),0)</f>
        <v>-2133</v>
      </c>
      <c r="K363" s="139"/>
      <c r="L363" s="139"/>
      <c r="M363" s="137"/>
      <c r="P363" s="94" t="s">
        <v>630</v>
      </c>
    </row>
    <row r="364" s="94" customFormat="1" ht="21.75" customHeight="1" spans="1:16">
      <c r="A364" s="122">
        <v>363</v>
      </c>
      <c r="B364" s="141" t="s">
        <v>631</v>
      </c>
      <c r="C364" s="141" t="s">
        <v>78</v>
      </c>
      <c r="D364" s="141" t="s">
        <v>78</v>
      </c>
      <c r="E364" s="137" t="s">
        <v>632</v>
      </c>
      <c r="F364" s="139" t="s">
        <v>21</v>
      </c>
      <c r="G364" s="251">
        <v>13901360834</v>
      </c>
      <c r="H364" s="142">
        <v>42826</v>
      </c>
      <c r="I364" s="142">
        <f t="shared" si="29"/>
        <v>43922</v>
      </c>
      <c r="J364" s="148">
        <f ca="1" t="shared" si="30"/>
        <v>-2130</v>
      </c>
      <c r="K364" s="139"/>
      <c r="L364" s="139"/>
      <c r="M364" s="137"/>
    </row>
    <row r="365" s="94" customFormat="1" ht="21.75" customHeight="1" spans="1:16">
      <c r="A365" s="122">
        <v>364</v>
      </c>
      <c r="B365" s="141" t="s">
        <v>633</v>
      </c>
      <c r="C365" s="141" t="s">
        <v>243</v>
      </c>
      <c r="D365" s="141" t="s">
        <v>540</v>
      </c>
      <c r="E365" s="137" t="s">
        <v>541</v>
      </c>
      <c r="F365" s="139" t="s">
        <v>21</v>
      </c>
      <c r="G365" s="251">
        <v>18611752763</v>
      </c>
      <c r="H365" s="142">
        <v>42826</v>
      </c>
      <c r="I365" s="142">
        <f t="shared" si="29"/>
        <v>43922</v>
      </c>
      <c r="J365" s="148">
        <f ca="1" t="shared" si="30"/>
        <v>-2130</v>
      </c>
      <c r="K365" s="139"/>
      <c r="L365" s="139"/>
      <c r="M365" s="137"/>
    </row>
    <row r="366" s="94" customFormat="1" ht="21.75" customHeight="1" spans="1:16">
      <c r="A366" s="122">
        <v>365</v>
      </c>
      <c r="B366" s="141" t="s">
        <v>634</v>
      </c>
      <c r="C366" s="141" t="s">
        <v>36</v>
      </c>
      <c r="D366" s="141" t="s">
        <v>86</v>
      </c>
      <c r="E366" s="137" t="s">
        <v>276</v>
      </c>
      <c r="F366" s="139" t="s">
        <v>21</v>
      </c>
      <c r="G366" s="251">
        <v>15801233955</v>
      </c>
      <c r="H366" s="283">
        <v>42826</v>
      </c>
      <c r="I366" s="142">
        <f t="shared" si="29"/>
        <v>43922</v>
      </c>
      <c r="J366" s="148">
        <f ca="1" t="shared" si="30"/>
        <v>-2130</v>
      </c>
      <c r="K366" s="139"/>
      <c r="L366" s="139"/>
      <c r="M366" s="137"/>
    </row>
    <row r="367" s="94" customFormat="1" ht="21.75" customHeight="1" spans="1:16">
      <c r="A367" s="122">
        <v>366</v>
      </c>
      <c r="B367" s="141" t="s">
        <v>635</v>
      </c>
      <c r="C367" s="141" t="s">
        <v>36</v>
      </c>
      <c r="D367" s="141" t="s">
        <v>565</v>
      </c>
      <c r="E367" s="137" t="s">
        <v>308</v>
      </c>
      <c r="F367" s="139" t="s">
        <v>21</v>
      </c>
      <c r="G367" s="251">
        <v>13601125251</v>
      </c>
      <c r="H367" s="142">
        <v>42826</v>
      </c>
      <c r="I367" s="142">
        <f t="shared" si="29"/>
        <v>43922</v>
      </c>
      <c r="J367" s="148">
        <f ca="1" t="shared" si="30"/>
        <v>-2130</v>
      </c>
      <c r="K367" s="139"/>
      <c r="L367" s="139"/>
      <c r="M367" s="137"/>
    </row>
    <row r="368" s="94" customFormat="1" ht="21.75" customHeight="1" spans="1:16">
      <c r="A368" s="122">
        <v>367</v>
      </c>
      <c r="B368" s="141" t="s">
        <v>636</v>
      </c>
      <c r="C368" s="141" t="s">
        <v>61</v>
      </c>
      <c r="D368" s="141" t="s">
        <v>212</v>
      </c>
      <c r="E368" s="137" t="s">
        <v>380</v>
      </c>
      <c r="F368" s="139" t="s">
        <v>21</v>
      </c>
      <c r="G368" s="251">
        <v>13911270456</v>
      </c>
      <c r="H368" s="142">
        <v>42830</v>
      </c>
      <c r="I368" s="142">
        <f t="shared" si="29"/>
        <v>43926</v>
      </c>
      <c r="J368" s="148">
        <f ca="1" t="shared" si="30"/>
        <v>-2126</v>
      </c>
      <c r="K368" s="139"/>
      <c r="L368" s="139"/>
      <c r="M368" s="137"/>
    </row>
    <row r="369" s="94" customFormat="1" ht="21.75" customHeight="1" spans="1:16">
      <c r="A369" s="122">
        <v>368</v>
      </c>
      <c r="B369" s="141" t="s">
        <v>637</v>
      </c>
      <c r="C369" s="141" t="s">
        <v>36</v>
      </c>
      <c r="D369" s="141" t="s">
        <v>638</v>
      </c>
      <c r="E369" s="137" t="s">
        <v>181</v>
      </c>
      <c r="F369" s="139" t="s">
        <v>21</v>
      </c>
      <c r="G369" s="251">
        <v>13810790635</v>
      </c>
      <c r="H369" s="142">
        <v>42830</v>
      </c>
      <c r="I369" s="142">
        <f t="shared" si="29"/>
        <v>43926</v>
      </c>
      <c r="J369" s="148">
        <f ca="1" t="shared" si="30"/>
        <v>-2126</v>
      </c>
      <c r="K369" s="139"/>
      <c r="L369" s="139"/>
      <c r="M369" s="137"/>
    </row>
    <row r="370" s="94" customFormat="1" ht="21.75" customHeight="1" spans="1:16">
      <c r="A370" s="122">
        <v>369</v>
      </c>
      <c r="B370" s="141" t="s">
        <v>639</v>
      </c>
      <c r="C370" s="141" t="s">
        <v>18</v>
      </c>
      <c r="D370" s="141" t="s">
        <v>640</v>
      </c>
      <c r="E370" s="137" t="s">
        <v>45</v>
      </c>
      <c r="F370" s="139" t="s">
        <v>21</v>
      </c>
      <c r="G370" s="251">
        <v>13426355190</v>
      </c>
      <c r="H370" s="142">
        <v>42830</v>
      </c>
      <c r="I370" s="142">
        <f t="shared" si="29"/>
        <v>43926</v>
      </c>
      <c r="J370" s="148">
        <f ca="1" t="shared" si="30"/>
        <v>-2126</v>
      </c>
      <c r="K370" s="139"/>
      <c r="L370" s="139"/>
      <c r="M370" s="137"/>
      <c r="P370" s="94" t="s">
        <v>641</v>
      </c>
    </row>
    <row r="371" s="94" customFormat="1" ht="21.75" customHeight="1" spans="1:16">
      <c r="A371" s="122">
        <v>370</v>
      </c>
      <c r="B371" s="141" t="s">
        <v>642</v>
      </c>
      <c r="C371" s="141" t="s">
        <v>36</v>
      </c>
      <c r="D371" s="141" t="s">
        <v>565</v>
      </c>
      <c r="E371" s="137" t="s">
        <v>308</v>
      </c>
      <c r="F371" s="139" t="s">
        <v>21</v>
      </c>
      <c r="G371" s="251">
        <v>13693135218</v>
      </c>
      <c r="H371" s="283">
        <v>42826</v>
      </c>
      <c r="I371" s="142">
        <f t="shared" si="29"/>
        <v>43922</v>
      </c>
      <c r="J371" s="148">
        <f ca="1" t="shared" si="30"/>
        <v>-2130</v>
      </c>
      <c r="K371" s="139"/>
      <c r="L371" s="139"/>
      <c r="M371" s="137"/>
    </row>
    <row r="372" s="94" customFormat="1" ht="21.75" customHeight="1" spans="1:16">
      <c r="A372" s="122">
        <v>371</v>
      </c>
      <c r="B372" s="141" t="s">
        <v>643</v>
      </c>
      <c r="C372" s="141" t="s">
        <v>205</v>
      </c>
      <c r="D372" s="141" t="s">
        <v>55</v>
      </c>
      <c r="E372" s="137" t="s">
        <v>56</v>
      </c>
      <c r="F372" s="139" t="s">
        <v>21</v>
      </c>
      <c r="G372" s="251">
        <v>18710165418</v>
      </c>
      <c r="H372" s="142">
        <v>42830</v>
      </c>
      <c r="I372" s="142">
        <f t="shared" si="29"/>
        <v>43926</v>
      </c>
      <c r="J372" s="148">
        <f ca="1" t="shared" si="30"/>
        <v>-2126</v>
      </c>
      <c r="K372" s="139"/>
      <c r="L372" s="139"/>
      <c r="M372" s="137"/>
      <c r="P372" s="94" t="s">
        <v>644</v>
      </c>
    </row>
    <row r="373" s="94" customFormat="1" ht="21.75" customHeight="1" spans="1:16">
      <c r="A373" s="122">
        <v>372</v>
      </c>
      <c r="B373" s="141" t="s">
        <v>645</v>
      </c>
      <c r="C373" s="141" t="s">
        <v>18</v>
      </c>
      <c r="D373" s="137" t="s">
        <v>32</v>
      </c>
      <c r="E373" s="137" t="s">
        <v>239</v>
      </c>
      <c r="F373" s="139" t="s">
        <v>21</v>
      </c>
      <c r="G373" s="251">
        <v>15210896902</v>
      </c>
      <c r="H373" s="142">
        <v>42831</v>
      </c>
      <c r="I373" s="142">
        <f t="shared" si="29"/>
        <v>43927</v>
      </c>
      <c r="J373" s="148">
        <f ca="1" t="shared" si="30"/>
        <v>-2125</v>
      </c>
      <c r="K373" s="139"/>
      <c r="L373" s="139"/>
      <c r="M373" s="137"/>
    </row>
    <row r="374" s="94" customFormat="1" ht="21.75" customHeight="1" spans="1:16">
      <c r="A374" s="122">
        <v>373</v>
      </c>
      <c r="B374" s="141" t="s">
        <v>646</v>
      </c>
      <c r="C374" s="141" t="s">
        <v>243</v>
      </c>
      <c r="D374" s="141" t="s">
        <v>243</v>
      </c>
      <c r="E374" s="137" t="s">
        <v>647</v>
      </c>
      <c r="F374" s="139" t="s">
        <v>21</v>
      </c>
      <c r="G374" s="251">
        <v>13701254840</v>
      </c>
      <c r="H374" s="142">
        <v>42832</v>
      </c>
      <c r="I374" s="142">
        <f t="shared" si="29"/>
        <v>43928</v>
      </c>
      <c r="J374" s="148">
        <f ca="1" t="shared" si="30"/>
        <v>-2124</v>
      </c>
      <c r="K374" s="139"/>
      <c r="L374" s="139"/>
      <c r="M374" s="137"/>
    </row>
    <row r="375" s="94" customFormat="1" ht="21.75" customHeight="1" spans="1:16">
      <c r="A375" s="122">
        <v>374</v>
      </c>
      <c r="B375" s="141" t="s">
        <v>648</v>
      </c>
      <c r="C375" s="141" t="s">
        <v>36</v>
      </c>
      <c r="D375" s="141" t="s">
        <v>565</v>
      </c>
      <c r="E375" s="137" t="s">
        <v>400</v>
      </c>
      <c r="F375" s="139" t="s">
        <v>21</v>
      </c>
      <c r="G375" s="251">
        <v>15810123346</v>
      </c>
      <c r="H375" s="142">
        <v>42835</v>
      </c>
      <c r="I375" s="142">
        <f t="shared" si="29"/>
        <v>43931</v>
      </c>
      <c r="J375" s="148">
        <f ca="1" t="shared" si="30"/>
        <v>-2121</v>
      </c>
      <c r="K375" s="139"/>
      <c r="L375" s="139"/>
      <c r="M375" s="137"/>
    </row>
    <row r="376" s="94" customFormat="1" ht="21.75" customHeight="1" spans="1:16">
      <c r="A376" s="122">
        <v>375</v>
      </c>
      <c r="B376" s="127" t="s">
        <v>649</v>
      </c>
      <c r="C376" s="127" t="s">
        <v>18</v>
      </c>
      <c r="D376" s="282" t="s">
        <v>44</v>
      </c>
      <c r="E376" s="137" t="s">
        <v>27</v>
      </c>
      <c r="F376" s="125" t="s">
        <v>21</v>
      </c>
      <c r="G376" s="177">
        <v>13520012831</v>
      </c>
      <c r="H376" s="126"/>
      <c r="I376" s="135"/>
      <c r="J376" s="135"/>
      <c r="K376" s="135"/>
      <c r="L376" s="125"/>
      <c r="M376" s="215"/>
      <c r="N376" s="261"/>
      <c r="O376" s="261"/>
    </row>
    <row r="377" s="94" customFormat="1" ht="21.75" customHeight="1" spans="1:16">
      <c r="A377" s="122">
        <v>376</v>
      </c>
      <c r="B377" s="141" t="s">
        <v>650</v>
      </c>
      <c r="C377" s="141" t="s">
        <v>36</v>
      </c>
      <c r="D377" s="141" t="s">
        <v>86</v>
      </c>
      <c r="E377" s="137" t="s">
        <v>276</v>
      </c>
      <c r="F377" s="139" t="s">
        <v>21</v>
      </c>
      <c r="G377" s="251">
        <v>18600831990</v>
      </c>
      <c r="H377" s="142">
        <v>42835</v>
      </c>
      <c r="I377" s="142">
        <f>EDATE(H377,36)</f>
        <v>43931</v>
      </c>
      <c r="J377" s="148">
        <f ca="1">ROUND(I377-NOW(),0)</f>
        <v>-2121</v>
      </c>
      <c r="K377" s="139"/>
      <c r="L377" s="139"/>
      <c r="M377" s="137"/>
    </row>
    <row r="378" s="94" customFormat="1" ht="21.75" customHeight="1" spans="1:16">
      <c r="A378" s="122">
        <v>377</v>
      </c>
      <c r="B378" s="141" t="s">
        <v>651</v>
      </c>
      <c r="C378" s="141" t="s">
        <v>243</v>
      </c>
      <c r="D378" s="141" t="s">
        <v>558</v>
      </c>
      <c r="E378" s="137" t="s">
        <v>245</v>
      </c>
      <c r="F378" s="139" t="s">
        <v>652</v>
      </c>
      <c r="G378" s="251">
        <v>18609919791</v>
      </c>
      <c r="H378" s="142">
        <v>42835</v>
      </c>
      <c r="I378" s="142">
        <f>EDATE(H378,36)</f>
        <v>43931</v>
      </c>
      <c r="J378" s="148">
        <f ca="1">ROUND(I378-NOW(),0)</f>
        <v>-2121</v>
      </c>
      <c r="K378" s="139"/>
      <c r="L378" s="139"/>
      <c r="M378" s="137"/>
    </row>
    <row r="379" s="94" customFormat="1" ht="21.75" customHeight="1" spans="1:16">
      <c r="A379" s="122">
        <v>378</v>
      </c>
      <c r="B379" s="141" t="s">
        <v>653</v>
      </c>
      <c r="C379" s="141" t="s">
        <v>52</v>
      </c>
      <c r="D379" s="141" t="s">
        <v>133</v>
      </c>
      <c r="E379" s="137" t="s">
        <v>87</v>
      </c>
      <c r="F379" s="139" t="s">
        <v>21</v>
      </c>
      <c r="G379" s="251">
        <v>13810010593</v>
      </c>
      <c r="H379" s="142">
        <v>42835</v>
      </c>
      <c r="I379" s="142">
        <f>EDATE(H379,36)</f>
        <v>43931</v>
      </c>
      <c r="J379" s="148">
        <f ca="1">ROUND(I379-NOW(),0)</f>
        <v>-2121</v>
      </c>
      <c r="K379" s="139"/>
      <c r="L379" s="139"/>
      <c r="M379" s="137"/>
    </row>
    <row r="380" s="94" customFormat="1" ht="21.75" customHeight="1" spans="1:16">
      <c r="A380" s="122">
        <v>379</v>
      </c>
      <c r="B380" s="141" t="s">
        <v>654</v>
      </c>
      <c r="C380" s="141" t="s">
        <v>205</v>
      </c>
      <c r="D380" s="141" t="s">
        <v>215</v>
      </c>
      <c r="E380" s="137" t="s">
        <v>33</v>
      </c>
      <c r="F380" s="139" t="s">
        <v>21</v>
      </c>
      <c r="G380" s="251">
        <v>13910982820</v>
      </c>
      <c r="H380" s="142">
        <v>42836</v>
      </c>
      <c r="I380" s="142">
        <f>EDATE(H380,36)</f>
        <v>43932</v>
      </c>
      <c r="J380" s="148">
        <f ca="1">ROUND(I380-NOW(),0)</f>
        <v>-2120</v>
      </c>
      <c r="K380" s="139"/>
      <c r="L380" s="139"/>
      <c r="M380" s="137"/>
    </row>
    <row r="381" s="94" customFormat="1" ht="21.75" customHeight="1" spans="1:16">
      <c r="A381" s="122">
        <v>380</v>
      </c>
      <c r="B381" s="141" t="s">
        <v>655</v>
      </c>
      <c r="C381" s="141" t="s">
        <v>61</v>
      </c>
      <c r="D381" s="141" t="s">
        <v>101</v>
      </c>
      <c r="E381" s="137" t="s">
        <v>656</v>
      </c>
      <c r="F381" s="139" t="s">
        <v>21</v>
      </c>
      <c r="G381" s="251">
        <v>15001209398</v>
      </c>
      <c r="H381" s="142">
        <v>42836</v>
      </c>
      <c r="I381" s="142">
        <f>EDATE(H381,36)</f>
        <v>43932</v>
      </c>
      <c r="J381" s="148">
        <f ca="1">ROUND(I381-NOW(),0)</f>
        <v>-2120</v>
      </c>
      <c r="K381" s="139"/>
      <c r="L381" s="139"/>
      <c r="M381" s="137"/>
    </row>
    <row r="382" s="94" customFormat="1" ht="21.75" customHeight="1" spans="1:16">
      <c r="A382" s="122">
        <v>381</v>
      </c>
      <c r="B382" s="127" t="s">
        <v>657</v>
      </c>
      <c r="C382" s="127" t="s">
        <v>18</v>
      </c>
      <c r="D382" s="282" t="s">
        <v>32</v>
      </c>
      <c r="E382" s="137" t="s">
        <v>27</v>
      </c>
      <c r="F382" s="125" t="s">
        <v>21</v>
      </c>
      <c r="G382" s="177">
        <v>13693615207</v>
      </c>
      <c r="H382" s="126"/>
      <c r="I382" s="135"/>
      <c r="J382" s="135"/>
      <c r="K382" s="135"/>
      <c r="L382" s="125"/>
      <c r="M382" s="215"/>
      <c r="N382" s="261"/>
      <c r="O382" s="261"/>
    </row>
    <row r="383" s="94" customFormat="1" ht="21.75" customHeight="1" spans="1:16">
      <c r="A383" s="122">
        <v>382</v>
      </c>
      <c r="B383" s="141" t="s">
        <v>658</v>
      </c>
      <c r="C383" s="141" t="s">
        <v>18</v>
      </c>
      <c r="D383" s="141" t="s">
        <v>659</v>
      </c>
      <c r="E383" s="137" t="s">
        <v>660</v>
      </c>
      <c r="F383" s="139" t="s">
        <v>661</v>
      </c>
      <c r="G383" s="251">
        <v>13715143752</v>
      </c>
      <c r="H383" s="142"/>
      <c r="I383" s="142"/>
      <c r="J383" s="148"/>
      <c r="K383" s="139"/>
      <c r="L383" s="139"/>
      <c r="M383" s="137"/>
    </row>
    <row r="384" s="94" customFormat="1" ht="21.75" customHeight="1" spans="1:16">
      <c r="A384" s="122">
        <v>383</v>
      </c>
      <c r="B384" s="141" t="s">
        <v>662</v>
      </c>
      <c r="C384" s="141" t="s">
        <v>36</v>
      </c>
      <c r="D384" s="141" t="s">
        <v>130</v>
      </c>
      <c r="E384" s="137" t="s">
        <v>56</v>
      </c>
      <c r="F384" s="139" t="s">
        <v>21</v>
      </c>
      <c r="G384" s="251">
        <v>13401170793</v>
      </c>
      <c r="H384" s="142">
        <v>42837</v>
      </c>
      <c r="I384" s="142">
        <f>EDATE(H384,36)</f>
        <v>43933</v>
      </c>
      <c r="J384" s="148">
        <f ca="1">ROUND(I384-NOW(),0)</f>
        <v>-2119</v>
      </c>
      <c r="K384" s="139"/>
      <c r="L384" s="139"/>
      <c r="M384" s="137"/>
    </row>
    <row r="385" s="94" customFormat="1" ht="21.75" customHeight="1" spans="1:15">
      <c r="A385" s="122">
        <v>384</v>
      </c>
      <c r="B385" s="127" t="s">
        <v>663</v>
      </c>
      <c r="C385" s="127" t="s">
        <v>18</v>
      </c>
      <c r="D385" s="282" t="s">
        <v>44</v>
      </c>
      <c r="E385" s="137" t="s">
        <v>27</v>
      </c>
      <c r="F385" s="125" t="s">
        <v>21</v>
      </c>
      <c r="G385" s="177">
        <v>15910306889</v>
      </c>
      <c r="H385" s="126"/>
      <c r="I385" s="135"/>
      <c r="J385" s="135"/>
      <c r="K385" s="135"/>
      <c r="L385" s="125"/>
      <c r="M385" s="215"/>
      <c r="N385" s="261"/>
      <c r="O385" s="261"/>
    </row>
    <row r="386" s="94" customFormat="1" ht="21.75" customHeight="1" spans="1:15">
      <c r="A386" s="122">
        <v>385</v>
      </c>
      <c r="B386" s="141" t="s">
        <v>664</v>
      </c>
      <c r="C386" s="141" t="s">
        <v>36</v>
      </c>
      <c r="D386" s="141" t="s">
        <v>86</v>
      </c>
      <c r="E386" s="137" t="s">
        <v>97</v>
      </c>
      <c r="F386" s="139" t="s">
        <v>21</v>
      </c>
      <c r="G386" s="251">
        <v>18618213231</v>
      </c>
      <c r="H386" s="142">
        <v>42838</v>
      </c>
      <c r="I386" s="142">
        <f>EDATE(H386,36)</f>
        <v>43934</v>
      </c>
      <c r="J386" s="148">
        <f ca="1">ROUND(I386-NOW(),0)</f>
        <v>-2118</v>
      </c>
      <c r="K386" s="139"/>
      <c r="L386" s="139"/>
      <c r="M386" s="137"/>
    </row>
    <row r="387" s="94" customFormat="1" ht="21.75" customHeight="1" spans="1:15">
      <c r="A387" s="122">
        <v>386</v>
      </c>
      <c r="B387" s="141" t="s">
        <v>665</v>
      </c>
      <c r="C387" s="141" t="s">
        <v>205</v>
      </c>
      <c r="D387" s="137" t="s">
        <v>47</v>
      </c>
      <c r="E387" s="137" t="s">
        <v>65</v>
      </c>
      <c r="F387" s="139" t="s">
        <v>21</v>
      </c>
      <c r="G387" s="223">
        <v>13146084795</v>
      </c>
      <c r="H387" s="142">
        <v>42839</v>
      </c>
      <c r="I387" s="142">
        <f>EDATE(H387,36)</f>
        <v>43935</v>
      </c>
      <c r="J387" s="148">
        <f ca="1">ROUND(I387-NOW(),0)</f>
        <v>-2117</v>
      </c>
      <c r="K387" s="139"/>
      <c r="L387" s="139"/>
      <c r="M387" s="137"/>
    </row>
    <row r="388" s="94" customFormat="1" ht="21.75" customHeight="1" spans="1:15">
      <c r="A388" s="122">
        <v>387</v>
      </c>
      <c r="B388" s="127" t="s">
        <v>666</v>
      </c>
      <c r="C388" s="127" t="s">
        <v>18</v>
      </c>
      <c r="D388" s="282" t="s">
        <v>118</v>
      </c>
      <c r="E388" s="137" t="s">
        <v>27</v>
      </c>
      <c r="F388" s="125" t="s">
        <v>21</v>
      </c>
      <c r="G388" s="177">
        <v>15267015875</v>
      </c>
      <c r="H388" s="126"/>
      <c r="I388" s="135"/>
      <c r="J388" s="135"/>
      <c r="K388" s="135"/>
      <c r="L388" s="125"/>
      <c r="M388" s="215"/>
      <c r="N388" s="261"/>
      <c r="O388" s="261"/>
    </row>
    <row r="389" s="94" customFormat="1" ht="21.75" customHeight="1" spans="1:15">
      <c r="A389" s="122">
        <v>388</v>
      </c>
      <c r="B389" s="270" t="s">
        <v>667</v>
      </c>
      <c r="C389" s="270" t="s">
        <v>52</v>
      </c>
      <c r="D389" s="270" t="s">
        <v>94</v>
      </c>
      <c r="E389" s="137" t="s">
        <v>27</v>
      </c>
      <c r="F389" s="272" t="s">
        <v>21</v>
      </c>
      <c r="G389" s="279">
        <v>18813187614</v>
      </c>
      <c r="H389" s="274"/>
      <c r="I389" s="274"/>
      <c r="J389" s="275"/>
      <c r="K389" s="272"/>
      <c r="L389" s="272"/>
      <c r="M389" s="215"/>
      <c r="N389" s="261"/>
      <c r="O389" s="261"/>
    </row>
    <row r="390" s="94" customFormat="1" ht="21.75" customHeight="1" spans="1:15">
      <c r="A390" s="122">
        <v>389</v>
      </c>
      <c r="B390" s="141" t="s">
        <v>668</v>
      </c>
      <c r="C390" s="141" t="s">
        <v>205</v>
      </c>
      <c r="D390" s="137" t="s">
        <v>26</v>
      </c>
      <c r="E390" s="137" t="s">
        <v>208</v>
      </c>
      <c r="F390" s="139" t="s">
        <v>21</v>
      </c>
      <c r="G390" s="223">
        <v>15210202822</v>
      </c>
      <c r="H390" s="142">
        <v>42843</v>
      </c>
      <c r="I390" s="142">
        <f>EDATE(H390,36)</f>
        <v>43939</v>
      </c>
      <c r="J390" s="148">
        <f ca="1">ROUND(I390-NOW(),0)</f>
        <v>-2113</v>
      </c>
      <c r="K390" s="139"/>
      <c r="L390" s="139"/>
      <c r="M390" s="137"/>
    </row>
    <row r="391" s="94" customFormat="1" ht="21.75" customHeight="1" spans="1:15">
      <c r="A391" s="122">
        <v>390</v>
      </c>
      <c r="B391" s="141" t="s">
        <v>669</v>
      </c>
      <c r="C391" s="141" t="s">
        <v>205</v>
      </c>
      <c r="D391" s="137" t="s">
        <v>47</v>
      </c>
      <c r="E391" s="137" t="s">
        <v>48</v>
      </c>
      <c r="F391" s="139" t="s">
        <v>21</v>
      </c>
      <c r="G391" s="223">
        <v>13439115430</v>
      </c>
      <c r="H391" s="142">
        <v>42843</v>
      </c>
      <c r="I391" s="142">
        <f>EDATE(H391,36)</f>
        <v>43939</v>
      </c>
      <c r="J391" s="148">
        <f ca="1">ROUND(I391-NOW(),0)</f>
        <v>-2113</v>
      </c>
      <c r="K391" s="139"/>
      <c r="L391" s="139"/>
      <c r="M391" s="137"/>
    </row>
    <row r="392" s="94" customFormat="1" ht="21.75" customHeight="1" spans="1:15">
      <c r="A392" s="122">
        <v>391</v>
      </c>
      <c r="B392" s="141" t="s">
        <v>670</v>
      </c>
      <c r="C392" s="141" t="s">
        <v>205</v>
      </c>
      <c r="D392" s="137" t="s">
        <v>47</v>
      </c>
      <c r="E392" s="137" t="s">
        <v>239</v>
      </c>
      <c r="F392" s="139" t="s">
        <v>21</v>
      </c>
      <c r="G392" s="223">
        <v>18612259220</v>
      </c>
      <c r="H392" s="142">
        <v>42845</v>
      </c>
      <c r="I392" s="142">
        <f>EDATE(H392,36)</f>
        <v>43941</v>
      </c>
      <c r="J392" s="148">
        <f ca="1">ROUND(I392-NOW(),0)</f>
        <v>-2111</v>
      </c>
      <c r="K392" s="139"/>
      <c r="L392" s="139"/>
      <c r="M392" s="137"/>
    </row>
    <row r="393" s="94" customFormat="1" ht="21.75" customHeight="1" spans="1:15">
      <c r="A393" s="122">
        <v>392</v>
      </c>
      <c r="B393" s="141" t="s">
        <v>671</v>
      </c>
      <c r="C393" s="141" t="s">
        <v>36</v>
      </c>
      <c r="D393" s="137" t="s">
        <v>86</v>
      </c>
      <c r="E393" s="137" t="s">
        <v>87</v>
      </c>
      <c r="F393" s="139" t="s">
        <v>309</v>
      </c>
      <c r="G393" s="223">
        <v>18142318857</v>
      </c>
      <c r="H393" s="142">
        <v>42845</v>
      </c>
      <c r="I393" s="142">
        <f>EDATE(H393,36)</f>
        <v>43941</v>
      </c>
      <c r="J393" s="148">
        <f ca="1">ROUND(I393-NOW(),0)</f>
        <v>-2111</v>
      </c>
      <c r="K393" s="139"/>
      <c r="L393" s="139"/>
      <c r="M393" s="137"/>
    </row>
    <row r="394" s="94" customFormat="1" ht="21.75" customHeight="1" spans="1:15">
      <c r="A394" s="122">
        <v>393</v>
      </c>
      <c r="B394" s="141" t="s">
        <v>672</v>
      </c>
      <c r="C394" s="141" t="s">
        <v>78</v>
      </c>
      <c r="D394" s="137" t="s">
        <v>556</v>
      </c>
      <c r="E394" s="137" t="s">
        <v>178</v>
      </c>
      <c r="F394" s="139" t="s">
        <v>21</v>
      </c>
      <c r="G394" s="223">
        <v>13801067682</v>
      </c>
      <c r="H394" s="142"/>
      <c r="I394" s="142"/>
      <c r="J394" s="148"/>
      <c r="K394" s="139"/>
      <c r="L394" s="139"/>
      <c r="M394" s="137"/>
    </row>
    <row r="395" s="94" customFormat="1" ht="21.75" customHeight="1" spans="1:15">
      <c r="A395" s="122">
        <v>394</v>
      </c>
      <c r="B395" s="141" t="s">
        <v>673</v>
      </c>
      <c r="C395" s="141" t="s">
        <v>36</v>
      </c>
      <c r="D395" s="137" t="s">
        <v>565</v>
      </c>
      <c r="E395" s="137" t="s">
        <v>308</v>
      </c>
      <c r="F395" s="139" t="s">
        <v>21</v>
      </c>
      <c r="G395" s="223">
        <v>18601920978</v>
      </c>
      <c r="H395" s="142">
        <v>42849</v>
      </c>
      <c r="I395" s="142">
        <f>EDATE(H395,36)</f>
        <v>43945</v>
      </c>
      <c r="J395" s="148">
        <f ca="1">ROUND(I395-NOW(),0)</f>
        <v>-2107</v>
      </c>
      <c r="K395" s="139"/>
      <c r="L395" s="139"/>
      <c r="M395" s="137"/>
    </row>
    <row r="396" s="94" customFormat="1" ht="21.75" customHeight="1" spans="1:15">
      <c r="A396" s="122">
        <v>395</v>
      </c>
      <c r="B396" s="141" t="s">
        <v>674</v>
      </c>
      <c r="C396" s="141" t="s">
        <v>224</v>
      </c>
      <c r="D396" s="137" t="s">
        <v>224</v>
      </c>
      <c r="E396" s="137" t="s">
        <v>675</v>
      </c>
      <c r="F396" s="139" t="s">
        <v>21</v>
      </c>
      <c r="G396" s="223">
        <v>13911047517</v>
      </c>
      <c r="H396" s="142">
        <v>42849</v>
      </c>
      <c r="I396" s="142">
        <f>EDATE(H396,36)</f>
        <v>43945</v>
      </c>
      <c r="J396" s="148">
        <f ca="1">ROUND(I396-NOW(),0)</f>
        <v>-2107</v>
      </c>
      <c r="K396" s="139"/>
      <c r="L396" s="139"/>
      <c r="M396" s="137"/>
    </row>
    <row r="397" s="94" customFormat="1" ht="21.75" customHeight="1" spans="1:15">
      <c r="A397" s="122">
        <v>396</v>
      </c>
      <c r="B397" s="141" t="s">
        <v>676</v>
      </c>
      <c r="C397" s="141" t="s">
        <v>224</v>
      </c>
      <c r="D397" s="141" t="s">
        <v>225</v>
      </c>
      <c r="E397" s="137" t="s">
        <v>677</v>
      </c>
      <c r="F397" s="139" t="s">
        <v>21</v>
      </c>
      <c r="G397" s="223">
        <v>18611798695</v>
      </c>
      <c r="H397" s="142">
        <v>42849</v>
      </c>
      <c r="I397" s="142">
        <f>EDATE(H397,36)</f>
        <v>43945</v>
      </c>
      <c r="J397" s="148">
        <f ca="1">ROUND(I397-NOW(),0)</f>
        <v>-2107</v>
      </c>
      <c r="K397" s="139"/>
      <c r="L397" s="139"/>
      <c r="M397" s="137"/>
    </row>
    <row r="398" s="94" customFormat="1" ht="21.75" customHeight="1" spans="1:15">
      <c r="A398" s="122">
        <v>397</v>
      </c>
      <c r="B398" s="127" t="s">
        <v>678</v>
      </c>
      <c r="C398" s="127" t="s">
        <v>18</v>
      </c>
      <c r="D398" s="282" t="s">
        <v>118</v>
      </c>
      <c r="E398" s="137" t="s">
        <v>27</v>
      </c>
      <c r="F398" s="125" t="s">
        <v>21</v>
      </c>
      <c r="G398" s="177">
        <v>15201519154</v>
      </c>
      <c r="H398" s="126"/>
      <c r="I398" s="135"/>
      <c r="J398" s="135"/>
      <c r="K398" s="135"/>
      <c r="L398" s="125"/>
      <c r="M398" s="215"/>
      <c r="N398" s="261"/>
      <c r="O398" s="261"/>
    </row>
    <row r="399" s="94" customFormat="1" ht="21.75" customHeight="1" spans="1:15">
      <c r="A399" s="122">
        <v>398</v>
      </c>
      <c r="B399" s="141" t="s">
        <v>679</v>
      </c>
      <c r="C399" s="137" t="s">
        <v>52</v>
      </c>
      <c r="D399" s="137" t="s">
        <v>125</v>
      </c>
      <c r="E399" s="137" t="s">
        <v>589</v>
      </c>
      <c r="F399" s="139" t="s">
        <v>21</v>
      </c>
      <c r="G399" s="223">
        <v>13911437711</v>
      </c>
      <c r="H399" s="142">
        <v>42851</v>
      </c>
      <c r="I399" s="142">
        <f>EDATE(H399,36)</f>
        <v>43947</v>
      </c>
      <c r="J399" s="148">
        <f ca="1">ROUND(I399-NOW(),0)</f>
        <v>-2105</v>
      </c>
      <c r="K399" s="139"/>
      <c r="L399" s="139"/>
      <c r="M399" s="137"/>
    </row>
    <row r="400" s="94" customFormat="1" ht="21.75" customHeight="1" spans="1:15">
      <c r="A400" s="122">
        <v>399</v>
      </c>
      <c r="B400" s="127" t="s">
        <v>680</v>
      </c>
      <c r="C400" s="127" t="s">
        <v>18</v>
      </c>
      <c r="D400" s="282" t="s">
        <v>437</v>
      </c>
      <c r="E400" s="137" t="s">
        <v>27</v>
      </c>
      <c r="F400" s="125" t="s">
        <v>21</v>
      </c>
      <c r="G400" s="177">
        <v>13141317643</v>
      </c>
      <c r="H400" s="126"/>
      <c r="I400" s="135"/>
      <c r="J400" s="135"/>
      <c r="K400" s="135"/>
      <c r="L400" s="125"/>
      <c r="M400" s="215"/>
      <c r="N400" s="261"/>
      <c r="O400" s="261"/>
    </row>
    <row r="401" ht="21.75" customHeight="1" spans="1:16">
      <c r="A401" s="122">
        <v>400</v>
      </c>
      <c r="B401" s="141" t="s">
        <v>681</v>
      </c>
      <c r="C401" s="137" t="s">
        <v>243</v>
      </c>
      <c r="D401" s="137" t="s">
        <v>244</v>
      </c>
      <c r="E401" s="137" t="s">
        <v>682</v>
      </c>
      <c r="F401" s="139" t="s">
        <v>21</v>
      </c>
      <c r="G401" s="223">
        <v>18610370018</v>
      </c>
      <c r="H401" s="142"/>
      <c r="I401" s="142"/>
      <c r="J401" s="148"/>
      <c r="K401" s="139"/>
      <c r="L401" s="139"/>
      <c r="M401" s="137"/>
    </row>
    <row r="402" ht="21.75" customHeight="1" spans="1:16">
      <c r="A402" s="122">
        <v>401</v>
      </c>
      <c r="B402" s="141" t="s">
        <v>683</v>
      </c>
      <c r="C402" s="137" t="s">
        <v>243</v>
      </c>
      <c r="D402" s="137" t="s">
        <v>540</v>
      </c>
      <c r="E402" s="137" t="s">
        <v>245</v>
      </c>
      <c r="F402" s="139" t="s">
        <v>21</v>
      </c>
      <c r="G402" s="223">
        <v>18612368686</v>
      </c>
      <c r="H402" s="142">
        <v>42857</v>
      </c>
      <c r="I402" s="142">
        <f>EDATE(H402,36)</f>
        <v>43953</v>
      </c>
      <c r="J402" s="148">
        <f ca="1">ROUND(I402-NOW(),0)</f>
        <v>-2099</v>
      </c>
      <c r="K402" s="139"/>
      <c r="L402" s="139"/>
      <c r="M402" s="137"/>
    </row>
    <row r="403" ht="21.75" customHeight="1" spans="1:16">
      <c r="A403" s="122">
        <v>402</v>
      </c>
      <c r="B403" s="127" t="s">
        <v>684</v>
      </c>
      <c r="C403" s="127" t="s">
        <v>205</v>
      </c>
      <c r="D403" s="282" t="s">
        <v>484</v>
      </c>
      <c r="E403" s="282" t="s">
        <v>27</v>
      </c>
      <c r="F403" s="125" t="s">
        <v>21</v>
      </c>
      <c r="G403" s="177">
        <v>18811592861</v>
      </c>
      <c r="H403" s="126"/>
      <c r="I403" s="135"/>
      <c r="J403" s="135"/>
      <c r="K403" s="135"/>
      <c r="L403" s="125"/>
      <c r="M403" s="215"/>
    </row>
    <row r="404" ht="21.75" customHeight="1" spans="1:16">
      <c r="A404" s="122">
        <v>403</v>
      </c>
      <c r="B404" s="141" t="s">
        <v>685</v>
      </c>
      <c r="C404" s="137" t="s">
        <v>243</v>
      </c>
      <c r="D404" s="137" t="s">
        <v>540</v>
      </c>
      <c r="E404" s="137" t="s">
        <v>245</v>
      </c>
      <c r="F404" s="139" t="s">
        <v>21</v>
      </c>
      <c r="G404" s="223">
        <v>13501371380</v>
      </c>
      <c r="H404" s="142">
        <v>42858</v>
      </c>
      <c r="I404" s="142">
        <f>EDATE(H404,36)</f>
        <v>43954</v>
      </c>
      <c r="J404" s="148">
        <f ca="1">ROUND(I404-NOW(),0)</f>
        <v>-2098</v>
      </c>
      <c r="K404" s="139"/>
      <c r="L404" s="139"/>
      <c r="M404" s="137"/>
    </row>
    <row r="405" ht="21.75" customHeight="1" spans="1:16">
      <c r="A405" s="122">
        <v>404</v>
      </c>
      <c r="B405" s="141" t="s">
        <v>686</v>
      </c>
      <c r="C405" s="137" t="s">
        <v>36</v>
      </c>
      <c r="D405" s="137" t="s">
        <v>106</v>
      </c>
      <c r="E405" s="137" t="s">
        <v>687</v>
      </c>
      <c r="F405" s="139" t="s">
        <v>21</v>
      </c>
      <c r="G405" s="223">
        <v>17600399608</v>
      </c>
      <c r="H405" s="142">
        <v>42854</v>
      </c>
      <c r="I405" s="142">
        <f>EDATE(H405,36)</f>
        <v>43950</v>
      </c>
      <c r="J405" s="148">
        <f ca="1">ROUND(I405-NOW(),0)</f>
        <v>-2102</v>
      </c>
      <c r="K405" s="139"/>
      <c r="L405" s="139"/>
      <c r="M405" s="137"/>
    </row>
    <row r="406" ht="21.75" customHeight="1" spans="1:16">
      <c r="A406" s="122">
        <v>405</v>
      </c>
      <c r="B406" s="141" t="s">
        <v>688</v>
      </c>
      <c r="C406" s="137" t="s">
        <v>36</v>
      </c>
      <c r="D406" s="137" t="s">
        <v>86</v>
      </c>
      <c r="E406" s="137" t="s">
        <v>689</v>
      </c>
      <c r="F406" s="139" t="s">
        <v>220</v>
      </c>
      <c r="G406" s="223" t="s">
        <v>690</v>
      </c>
      <c r="H406" s="142">
        <v>42873</v>
      </c>
      <c r="I406" s="142">
        <f>EDATE(H406,36)</f>
        <v>43969</v>
      </c>
      <c r="J406" s="148">
        <f ca="1">ROUND(I406-NOW(),0)</f>
        <v>-2083</v>
      </c>
      <c r="K406" s="139"/>
      <c r="L406" s="139"/>
      <c r="M406" s="137"/>
    </row>
    <row r="407" ht="21.75" customHeight="1" spans="1:16">
      <c r="A407" s="122">
        <v>406</v>
      </c>
      <c r="B407" s="141" t="s">
        <v>691</v>
      </c>
      <c r="C407" s="137" t="s">
        <v>18</v>
      </c>
      <c r="D407" s="137" t="s">
        <v>18</v>
      </c>
      <c r="E407" s="137" t="s">
        <v>692</v>
      </c>
      <c r="F407" s="139" t="s">
        <v>21</v>
      </c>
      <c r="G407" s="223">
        <v>13810462923</v>
      </c>
      <c r="H407" s="142">
        <v>42863</v>
      </c>
      <c r="I407" s="142">
        <f>EDATE(H407,36)</f>
        <v>43959</v>
      </c>
      <c r="J407" s="148">
        <f ca="1">ROUND(I407-NOW(),0)</f>
        <v>-2093</v>
      </c>
      <c r="K407" s="139"/>
      <c r="L407" s="139"/>
      <c r="M407" s="137"/>
    </row>
    <row r="408" ht="21.75" customHeight="1" spans="1:16">
      <c r="A408" s="122">
        <v>407</v>
      </c>
      <c r="B408" s="141" t="s">
        <v>693</v>
      </c>
      <c r="C408" s="137" t="s">
        <v>18</v>
      </c>
      <c r="D408" s="141" t="s">
        <v>659</v>
      </c>
      <c r="E408" s="137" t="s">
        <v>694</v>
      </c>
      <c r="F408" s="139" t="s">
        <v>661</v>
      </c>
      <c r="G408" s="211" t="s">
        <v>695</v>
      </c>
      <c r="H408" s="142"/>
      <c r="I408" s="142"/>
      <c r="J408" s="148"/>
      <c r="K408" s="139"/>
      <c r="L408" s="139"/>
      <c r="M408" s="137"/>
    </row>
    <row r="409" ht="21.75" customHeight="1" spans="1:16">
      <c r="A409" s="122">
        <v>408</v>
      </c>
      <c r="B409" s="141" t="s">
        <v>696</v>
      </c>
      <c r="C409" s="137" t="s">
        <v>18</v>
      </c>
      <c r="D409" s="137" t="s">
        <v>32</v>
      </c>
      <c r="E409" s="137" t="s">
        <v>239</v>
      </c>
      <c r="F409" s="139" t="s">
        <v>21</v>
      </c>
      <c r="G409" s="211">
        <v>15910532468</v>
      </c>
      <c r="H409" s="142">
        <v>42866</v>
      </c>
      <c r="I409" s="142">
        <f>EDATE(H409,36)</f>
        <v>43962</v>
      </c>
      <c r="J409" s="148">
        <f ca="1">ROUND(I409-NOW(),0)</f>
        <v>-2090</v>
      </c>
      <c r="K409" s="139"/>
      <c r="L409" s="139"/>
      <c r="M409" s="137"/>
    </row>
    <row r="410" ht="21.75" customHeight="1" spans="1:16">
      <c r="A410" s="122">
        <v>409</v>
      </c>
      <c r="B410" s="141" t="s">
        <v>697</v>
      </c>
      <c r="C410" s="137" t="s">
        <v>36</v>
      </c>
      <c r="D410" s="137" t="s">
        <v>130</v>
      </c>
      <c r="E410" s="137" t="s">
        <v>65</v>
      </c>
      <c r="F410" s="139" t="s">
        <v>21</v>
      </c>
      <c r="G410" s="149">
        <v>13693130239</v>
      </c>
      <c r="H410" s="142">
        <v>42867</v>
      </c>
      <c r="I410" s="142">
        <f>EDATE(H410,36)</f>
        <v>43963</v>
      </c>
      <c r="J410" s="148">
        <f ca="1">ROUND(I410-NOW(),0)</f>
        <v>-2089</v>
      </c>
      <c r="K410" s="139"/>
      <c r="L410" s="139"/>
      <c r="M410" s="137"/>
      <c r="P410" s="261" t="s">
        <v>698</v>
      </c>
    </row>
    <row r="411" ht="21.75" customHeight="1" spans="1:16">
      <c r="A411" s="122">
        <v>410</v>
      </c>
      <c r="B411" s="127" t="s">
        <v>699</v>
      </c>
      <c r="C411" s="127" t="s">
        <v>18</v>
      </c>
      <c r="D411" s="127" t="s">
        <v>29</v>
      </c>
      <c r="E411" s="282" t="s">
        <v>27</v>
      </c>
      <c r="F411" s="125" t="s">
        <v>21</v>
      </c>
      <c r="G411" s="177">
        <v>18810665689</v>
      </c>
      <c r="H411" s="126"/>
      <c r="I411" s="135"/>
      <c r="J411" s="135"/>
      <c r="K411" s="135"/>
      <c r="L411" s="125"/>
      <c r="M411" s="215"/>
    </row>
    <row r="412" ht="21.75" customHeight="1" spans="1:16">
      <c r="A412" s="122">
        <v>411</v>
      </c>
      <c r="B412" s="127" t="s">
        <v>700</v>
      </c>
      <c r="C412" s="127" t="s">
        <v>18</v>
      </c>
      <c r="D412" s="127" t="s">
        <v>58</v>
      </c>
      <c r="E412" s="282" t="s">
        <v>27</v>
      </c>
      <c r="F412" s="125" t="s">
        <v>21</v>
      </c>
      <c r="G412" s="177">
        <v>18565625610</v>
      </c>
      <c r="H412" s="126"/>
      <c r="I412" s="135"/>
      <c r="J412" s="135"/>
      <c r="K412" s="135"/>
      <c r="L412" s="125"/>
      <c r="M412" s="215"/>
    </row>
    <row r="413" ht="21.75" customHeight="1" spans="1:16">
      <c r="A413" s="122">
        <v>412</v>
      </c>
      <c r="B413" s="141" t="s">
        <v>701</v>
      </c>
      <c r="C413" s="137" t="s">
        <v>61</v>
      </c>
      <c r="D413" s="137" t="s">
        <v>212</v>
      </c>
      <c r="E413" s="137" t="s">
        <v>702</v>
      </c>
      <c r="F413" s="139" t="s">
        <v>21</v>
      </c>
      <c r="G413" s="149">
        <v>18513353521</v>
      </c>
      <c r="H413" s="142">
        <v>42874</v>
      </c>
      <c r="I413" s="142">
        <f>EDATE(H413,36)</f>
        <v>43970</v>
      </c>
      <c r="J413" s="148">
        <f ca="1">ROUND(I413-NOW(),0)</f>
        <v>-2082</v>
      </c>
      <c r="K413" s="139"/>
      <c r="L413" s="139"/>
      <c r="M413" s="137"/>
    </row>
    <row r="414" ht="21.75" customHeight="1" spans="1:16">
      <c r="A414" s="122">
        <v>413</v>
      </c>
      <c r="B414" s="141" t="s">
        <v>703</v>
      </c>
      <c r="C414" s="137" t="s">
        <v>18</v>
      </c>
      <c r="D414" s="137" t="s">
        <v>260</v>
      </c>
      <c r="E414" s="137" t="s">
        <v>115</v>
      </c>
      <c r="F414" s="139" t="s">
        <v>21</v>
      </c>
      <c r="G414" s="149">
        <v>13717648820</v>
      </c>
      <c r="H414" s="142">
        <v>42870</v>
      </c>
      <c r="I414" s="142">
        <f>EDATE(H414,36)</f>
        <v>43966</v>
      </c>
      <c r="J414" s="148">
        <f ca="1">ROUND(I414-NOW(),0)</f>
        <v>-2086</v>
      </c>
      <c r="K414" s="139"/>
      <c r="L414" s="139"/>
      <c r="M414" s="137"/>
    </row>
    <row r="415" ht="21.75" customHeight="1" spans="1:16">
      <c r="A415" s="122">
        <v>414</v>
      </c>
      <c r="B415" s="127" t="s">
        <v>704</v>
      </c>
      <c r="C415" s="127" t="s">
        <v>18</v>
      </c>
      <c r="D415" s="127" t="s">
        <v>44</v>
      </c>
      <c r="E415" s="282" t="s">
        <v>27</v>
      </c>
      <c r="F415" s="125" t="s">
        <v>21</v>
      </c>
      <c r="G415" s="177">
        <v>18684317998</v>
      </c>
      <c r="H415" s="126"/>
      <c r="I415" s="135"/>
      <c r="J415" s="135"/>
      <c r="K415" s="135"/>
      <c r="L415" s="125"/>
      <c r="M415" s="215"/>
    </row>
    <row r="416" s="94" customFormat="1" ht="21.75" customHeight="1" spans="1:16">
      <c r="A416" s="122">
        <v>415</v>
      </c>
      <c r="B416" s="270" t="s">
        <v>705</v>
      </c>
      <c r="C416" s="270" t="s">
        <v>205</v>
      </c>
      <c r="D416" s="270" t="s">
        <v>55</v>
      </c>
      <c r="E416" s="270" t="s">
        <v>706</v>
      </c>
      <c r="F416" s="272" t="s">
        <v>21</v>
      </c>
      <c r="G416" s="279">
        <v>13681225301</v>
      </c>
      <c r="H416" s="274"/>
      <c r="I416" s="274"/>
      <c r="J416" s="275"/>
      <c r="K416" s="272"/>
      <c r="L416" s="272"/>
      <c r="M416" s="215"/>
      <c r="N416" s="261"/>
      <c r="O416" s="261"/>
    </row>
    <row r="417" ht="21.75" customHeight="1" spans="1:13">
      <c r="A417" s="122">
        <v>416</v>
      </c>
      <c r="B417" s="127" t="s">
        <v>707</v>
      </c>
      <c r="C417" s="127" t="s">
        <v>224</v>
      </c>
      <c r="D417" s="127" t="s">
        <v>225</v>
      </c>
      <c r="E417" s="282" t="s">
        <v>27</v>
      </c>
      <c r="F417" s="125" t="s">
        <v>21</v>
      </c>
      <c r="G417" s="177">
        <v>18810713190</v>
      </c>
      <c r="H417" s="126"/>
      <c r="I417" s="135"/>
      <c r="J417" s="135"/>
      <c r="K417" s="135"/>
      <c r="L417" s="125"/>
      <c r="M417" s="215"/>
    </row>
    <row r="418" ht="21.75" customHeight="1" spans="1:13">
      <c r="A418" s="122">
        <v>417</v>
      </c>
      <c r="B418" s="141" t="s">
        <v>708</v>
      </c>
      <c r="C418" s="137" t="s">
        <v>205</v>
      </c>
      <c r="D418" s="137" t="s">
        <v>26</v>
      </c>
      <c r="E418" s="137" t="s">
        <v>80</v>
      </c>
      <c r="F418" s="139" t="s">
        <v>21</v>
      </c>
      <c r="G418" s="149">
        <v>15201663027</v>
      </c>
      <c r="H418" s="142">
        <v>42872</v>
      </c>
      <c r="I418" s="142">
        <f>EDATE(H418,36)</f>
        <v>43968</v>
      </c>
      <c r="J418" s="148">
        <f ca="1">ROUND(I418-NOW(),0)</f>
        <v>-2084</v>
      </c>
      <c r="K418" s="139"/>
      <c r="L418" s="139"/>
      <c r="M418" s="137"/>
    </row>
    <row r="419" ht="21.75" customHeight="1" spans="1:13">
      <c r="A419" s="122">
        <v>418</v>
      </c>
      <c r="B419" s="127" t="s">
        <v>709</v>
      </c>
      <c r="C419" s="127" t="s">
        <v>36</v>
      </c>
      <c r="D419" s="127" t="s">
        <v>106</v>
      </c>
      <c r="E419" s="282" t="s">
        <v>27</v>
      </c>
      <c r="F419" s="125" t="s">
        <v>21</v>
      </c>
      <c r="G419" s="177">
        <v>15645036250</v>
      </c>
      <c r="H419" s="126"/>
      <c r="I419" s="135"/>
      <c r="J419" s="135"/>
      <c r="K419" s="135"/>
      <c r="L419" s="125"/>
      <c r="M419" s="215"/>
    </row>
    <row r="420" ht="21.75" customHeight="1" spans="1:13">
      <c r="A420" s="122">
        <v>419</v>
      </c>
      <c r="B420" s="141" t="s">
        <v>710</v>
      </c>
      <c r="C420" s="137" t="s">
        <v>18</v>
      </c>
      <c r="D420" s="137" t="s">
        <v>505</v>
      </c>
      <c r="E420" s="137" t="s">
        <v>711</v>
      </c>
      <c r="F420" s="139" t="s">
        <v>21</v>
      </c>
      <c r="G420" s="149">
        <v>13466724242</v>
      </c>
      <c r="H420" s="142">
        <v>42877</v>
      </c>
      <c r="I420" s="142">
        <f>EDATE(H420,36)</f>
        <v>43973</v>
      </c>
      <c r="J420" s="148">
        <f ca="1">ROUND(I420-NOW(),0)</f>
        <v>-2079</v>
      </c>
      <c r="K420" s="139"/>
      <c r="L420" s="139"/>
      <c r="M420" s="137"/>
    </row>
    <row r="421" ht="21.75" customHeight="1" spans="1:13">
      <c r="A421" s="122">
        <v>420</v>
      </c>
      <c r="B421" s="127" t="s">
        <v>712</v>
      </c>
      <c r="C421" s="127" t="s">
        <v>18</v>
      </c>
      <c r="D421" s="127" t="s">
        <v>18</v>
      </c>
      <c r="E421" s="282" t="s">
        <v>27</v>
      </c>
      <c r="F421" s="125" t="s">
        <v>21</v>
      </c>
      <c r="G421" s="177">
        <v>13001992727</v>
      </c>
      <c r="H421" s="126"/>
      <c r="I421" s="135"/>
      <c r="J421" s="135"/>
      <c r="K421" s="135"/>
      <c r="L421" s="125"/>
      <c r="M421" s="215"/>
    </row>
    <row r="422" ht="21.75" customHeight="1" spans="1:13">
      <c r="A422" s="122">
        <v>421</v>
      </c>
      <c r="B422" s="141" t="s">
        <v>713</v>
      </c>
      <c r="C422" s="137" t="s">
        <v>205</v>
      </c>
      <c r="D422" s="137" t="s">
        <v>26</v>
      </c>
      <c r="E422" s="137" t="s">
        <v>252</v>
      </c>
      <c r="F422" s="139" t="s">
        <v>21</v>
      </c>
      <c r="G422" s="149">
        <v>18811282266</v>
      </c>
      <c r="H422" s="142">
        <v>42877</v>
      </c>
      <c r="I422" s="142">
        <f>EDATE(H422,36)</f>
        <v>43973</v>
      </c>
      <c r="J422" s="148">
        <f ca="1">ROUND(I422-NOW(),0)</f>
        <v>-2079</v>
      </c>
      <c r="K422" s="139"/>
      <c r="L422" s="139"/>
      <c r="M422" s="137"/>
    </row>
    <row r="423" ht="21.75" customHeight="1" spans="1:13">
      <c r="A423" s="122">
        <v>422</v>
      </c>
      <c r="B423" s="141" t="s">
        <v>714</v>
      </c>
      <c r="C423" s="137" t="s">
        <v>36</v>
      </c>
      <c r="D423" s="137" t="s">
        <v>86</v>
      </c>
      <c r="E423" s="137" t="s">
        <v>689</v>
      </c>
      <c r="F423" s="139" t="s">
        <v>370</v>
      </c>
      <c r="G423" s="149">
        <v>15828453921</v>
      </c>
      <c r="H423" s="142">
        <v>42877</v>
      </c>
      <c r="I423" s="142">
        <f>EDATE(H423,36)</f>
        <v>43973</v>
      </c>
      <c r="J423" s="148">
        <f ca="1">ROUND(I423-NOW(),0)</f>
        <v>-2079</v>
      </c>
      <c r="K423" s="139"/>
      <c r="L423" s="139"/>
      <c r="M423" s="137"/>
    </row>
    <row r="424" ht="21.75" customHeight="1" spans="1:13">
      <c r="A424" s="122">
        <v>423</v>
      </c>
      <c r="B424" s="127" t="s">
        <v>715</v>
      </c>
      <c r="C424" s="127" t="s">
        <v>224</v>
      </c>
      <c r="D424" s="127" t="s">
        <v>225</v>
      </c>
      <c r="E424" s="282" t="s">
        <v>27</v>
      </c>
      <c r="F424" s="125" t="s">
        <v>21</v>
      </c>
      <c r="G424" s="177">
        <v>13269428500</v>
      </c>
      <c r="H424" s="126"/>
      <c r="I424" s="135"/>
      <c r="J424" s="135"/>
      <c r="K424" s="135"/>
      <c r="L424" s="125"/>
      <c r="M424" s="215"/>
    </row>
    <row r="425" ht="21.75" customHeight="1" spans="1:13">
      <c r="A425" s="122">
        <v>424</v>
      </c>
      <c r="B425" s="127" t="s">
        <v>716</v>
      </c>
      <c r="C425" s="127" t="s">
        <v>205</v>
      </c>
      <c r="D425" s="127" t="s">
        <v>47</v>
      </c>
      <c r="E425" s="282" t="s">
        <v>27</v>
      </c>
      <c r="F425" s="125" t="s">
        <v>21</v>
      </c>
      <c r="G425" s="177">
        <v>18601348302</v>
      </c>
      <c r="H425" s="126"/>
      <c r="I425" s="135"/>
      <c r="J425" s="135"/>
      <c r="K425" s="135"/>
      <c r="L425" s="125"/>
      <c r="M425" s="215"/>
    </row>
    <row r="426" ht="21.75" customHeight="1" spans="1:13">
      <c r="A426" s="122">
        <v>425</v>
      </c>
      <c r="B426" s="127" t="s">
        <v>717</v>
      </c>
      <c r="C426" s="127" t="s">
        <v>18</v>
      </c>
      <c r="D426" s="127" t="s">
        <v>437</v>
      </c>
      <c r="E426" s="282" t="s">
        <v>27</v>
      </c>
      <c r="F426" s="125" t="s">
        <v>21</v>
      </c>
      <c r="G426" s="177">
        <v>13001260955</v>
      </c>
      <c r="H426" s="126"/>
      <c r="I426" s="135"/>
      <c r="J426" s="135"/>
      <c r="K426" s="135"/>
      <c r="L426" s="125"/>
      <c r="M426" s="215"/>
    </row>
    <row r="427" ht="21.75" customHeight="1" spans="1:13">
      <c r="A427" s="122">
        <v>426</v>
      </c>
      <c r="B427" s="141" t="s">
        <v>718</v>
      </c>
      <c r="C427" s="137" t="s">
        <v>243</v>
      </c>
      <c r="D427" s="137" t="s">
        <v>540</v>
      </c>
      <c r="E427" s="137" t="s">
        <v>719</v>
      </c>
      <c r="F427" s="139" t="s">
        <v>21</v>
      </c>
      <c r="G427" s="149">
        <v>13911677761</v>
      </c>
      <c r="H427" s="142"/>
      <c r="I427" s="142"/>
      <c r="J427" s="148"/>
      <c r="K427" s="139"/>
      <c r="L427" s="139"/>
      <c r="M427" s="137"/>
    </row>
    <row r="428" ht="21.75" customHeight="1" spans="1:13">
      <c r="A428" s="122">
        <v>427</v>
      </c>
      <c r="B428" s="141" t="s">
        <v>720</v>
      </c>
      <c r="C428" s="137" t="s">
        <v>52</v>
      </c>
      <c r="D428" s="137" t="s">
        <v>133</v>
      </c>
      <c r="E428" s="137" t="s">
        <v>239</v>
      </c>
      <c r="F428" s="139" t="s">
        <v>21</v>
      </c>
      <c r="G428" s="149">
        <v>18510005633</v>
      </c>
      <c r="H428" s="142">
        <v>42886</v>
      </c>
      <c r="I428" s="142">
        <f>EDATE(H428,36)</f>
        <v>43982</v>
      </c>
      <c r="J428" s="148">
        <f ca="1">ROUND(I428-NOW(),0)</f>
        <v>-2070</v>
      </c>
      <c r="K428" s="139"/>
      <c r="L428" s="139"/>
      <c r="M428" s="137"/>
    </row>
    <row r="429" ht="21.75" customHeight="1" spans="1:13">
      <c r="A429" s="122">
        <v>428</v>
      </c>
      <c r="B429" s="141" t="s">
        <v>721</v>
      </c>
      <c r="C429" s="137" t="s">
        <v>36</v>
      </c>
      <c r="D429" s="137" t="s">
        <v>106</v>
      </c>
      <c r="E429" s="137" t="s">
        <v>562</v>
      </c>
      <c r="F429" s="139" t="s">
        <v>21</v>
      </c>
      <c r="G429" s="149">
        <v>15101017016</v>
      </c>
      <c r="H429" s="142">
        <v>42886</v>
      </c>
      <c r="I429" s="142">
        <f>EDATE(H429,36)</f>
        <v>43982</v>
      </c>
      <c r="J429" s="148">
        <f ca="1">ROUND(I429-NOW(),0)</f>
        <v>-2070</v>
      </c>
      <c r="K429" s="139"/>
      <c r="L429" s="139"/>
      <c r="M429" s="137"/>
    </row>
    <row r="430" ht="21.75" customHeight="1" spans="1:13">
      <c r="A430" s="122">
        <v>429</v>
      </c>
      <c r="B430" s="141" t="s">
        <v>722</v>
      </c>
      <c r="C430" s="137" t="s">
        <v>52</v>
      </c>
      <c r="D430" s="137" t="s">
        <v>194</v>
      </c>
      <c r="E430" s="137" t="s">
        <v>723</v>
      </c>
      <c r="F430" s="139" t="s">
        <v>21</v>
      </c>
      <c r="G430" s="149">
        <v>18701636697</v>
      </c>
      <c r="H430" s="142">
        <v>42886</v>
      </c>
      <c r="I430" s="142">
        <f>EDATE(H430,36)</f>
        <v>43982</v>
      </c>
      <c r="J430" s="148">
        <f ca="1">ROUND(I430-NOW(),0)</f>
        <v>-2070</v>
      </c>
      <c r="K430" s="139"/>
      <c r="L430" s="139"/>
      <c r="M430" s="137"/>
    </row>
    <row r="431" ht="21.75" customHeight="1" spans="1:13">
      <c r="A431" s="122">
        <v>430</v>
      </c>
      <c r="B431" s="141" t="s">
        <v>724</v>
      </c>
      <c r="C431" s="137" t="s">
        <v>36</v>
      </c>
      <c r="D431" s="137" t="s">
        <v>251</v>
      </c>
      <c r="E431" s="137" t="s">
        <v>208</v>
      </c>
      <c r="F431" s="139" t="s">
        <v>21</v>
      </c>
      <c r="G431" s="149">
        <v>18612110607</v>
      </c>
      <c r="H431" s="142"/>
      <c r="I431" s="142"/>
      <c r="J431" s="148"/>
      <c r="K431" s="139"/>
      <c r="L431" s="139"/>
      <c r="M431" s="137"/>
    </row>
    <row r="432" ht="21.75" customHeight="1" spans="1:13">
      <c r="A432" s="122">
        <v>431</v>
      </c>
      <c r="B432" s="141" t="s">
        <v>725</v>
      </c>
      <c r="C432" s="137" t="s">
        <v>36</v>
      </c>
      <c r="D432" s="137" t="s">
        <v>130</v>
      </c>
      <c r="E432" s="137" t="s">
        <v>65</v>
      </c>
      <c r="F432" s="139" t="s">
        <v>21</v>
      </c>
      <c r="G432" s="149">
        <v>18500484096</v>
      </c>
      <c r="H432" s="142">
        <v>42881</v>
      </c>
      <c r="I432" s="142">
        <f>EDATE(H432,36)</f>
        <v>43977</v>
      </c>
      <c r="J432" s="148">
        <f ca="1">ROUND(I432-NOW(),0)</f>
        <v>-2075</v>
      </c>
      <c r="K432" s="139"/>
      <c r="L432" s="139"/>
      <c r="M432" s="137"/>
    </row>
    <row r="433" ht="21.75" customHeight="1" spans="1:13">
      <c r="A433" s="122">
        <v>432</v>
      </c>
      <c r="B433" s="141" t="s">
        <v>726</v>
      </c>
      <c r="C433" s="137" t="s">
        <v>36</v>
      </c>
      <c r="D433" s="137" t="s">
        <v>36</v>
      </c>
      <c r="E433" s="137" t="s">
        <v>136</v>
      </c>
      <c r="F433" s="139" t="s">
        <v>21</v>
      </c>
      <c r="G433" s="149">
        <v>18610245549</v>
      </c>
      <c r="H433" s="142">
        <v>42881</v>
      </c>
      <c r="I433" s="142">
        <f>EDATE(H433,36)</f>
        <v>43977</v>
      </c>
      <c r="J433" s="148">
        <f ca="1">ROUND(I433-NOW(),0)</f>
        <v>-2075</v>
      </c>
      <c r="K433" s="139"/>
      <c r="L433" s="139"/>
      <c r="M433" s="137"/>
    </row>
    <row r="434" ht="21.75" customHeight="1" spans="1:13">
      <c r="A434" s="122">
        <v>433</v>
      </c>
      <c r="B434" s="127" t="s">
        <v>727</v>
      </c>
      <c r="C434" s="127" t="s">
        <v>18</v>
      </c>
      <c r="D434" s="127" t="s">
        <v>58</v>
      </c>
      <c r="E434" s="282" t="s">
        <v>27</v>
      </c>
      <c r="F434" s="125" t="s">
        <v>21</v>
      </c>
      <c r="G434" s="177">
        <v>15501122163</v>
      </c>
      <c r="H434" s="126"/>
      <c r="I434" s="135"/>
      <c r="J434" s="135"/>
      <c r="K434" s="135"/>
      <c r="L434" s="125"/>
      <c r="M434" s="215"/>
    </row>
    <row r="435" ht="21.75" customHeight="1" spans="1:13">
      <c r="A435" s="122">
        <v>434</v>
      </c>
      <c r="B435" s="127" t="s">
        <v>728</v>
      </c>
      <c r="C435" s="127" t="s">
        <v>18</v>
      </c>
      <c r="D435" s="127" t="s">
        <v>729</v>
      </c>
      <c r="E435" s="282" t="s">
        <v>27</v>
      </c>
      <c r="F435" s="125" t="s">
        <v>661</v>
      </c>
      <c r="G435" s="177" t="s">
        <v>730</v>
      </c>
      <c r="H435" s="126"/>
      <c r="I435" s="135"/>
      <c r="J435" s="135"/>
      <c r="K435" s="135"/>
      <c r="L435" s="125"/>
      <c r="M435" s="215"/>
    </row>
    <row r="436" ht="21.75" customHeight="1" spans="1:13">
      <c r="A436" s="122">
        <v>435</v>
      </c>
      <c r="B436" s="127" t="s">
        <v>731</v>
      </c>
      <c r="C436" s="127" t="s">
        <v>18</v>
      </c>
      <c r="D436" s="127" t="s">
        <v>729</v>
      </c>
      <c r="E436" s="282" t="s">
        <v>27</v>
      </c>
      <c r="F436" s="125" t="s">
        <v>661</v>
      </c>
      <c r="G436" s="177">
        <v>8657899216</v>
      </c>
      <c r="H436" s="126"/>
      <c r="I436" s="135"/>
      <c r="J436" s="135"/>
      <c r="K436" s="135"/>
      <c r="L436" s="125"/>
      <c r="M436" s="215"/>
    </row>
    <row r="437" ht="21.75" customHeight="1" spans="1:13">
      <c r="A437" s="122">
        <v>436</v>
      </c>
      <c r="B437" s="127" t="s">
        <v>732</v>
      </c>
      <c r="C437" s="127" t="s">
        <v>18</v>
      </c>
      <c r="D437" s="127" t="s">
        <v>729</v>
      </c>
      <c r="E437" s="282" t="s">
        <v>27</v>
      </c>
      <c r="F437" s="125" t="s">
        <v>661</v>
      </c>
      <c r="G437" s="177" t="s">
        <v>733</v>
      </c>
      <c r="H437" s="126"/>
      <c r="I437" s="135"/>
      <c r="J437" s="135"/>
      <c r="K437" s="135"/>
      <c r="L437" s="125"/>
      <c r="M437" s="215"/>
    </row>
    <row r="438" ht="21.75" customHeight="1" spans="1:13">
      <c r="A438" s="122">
        <v>437</v>
      </c>
      <c r="B438" s="141" t="s">
        <v>734</v>
      </c>
      <c r="C438" s="137" t="s">
        <v>36</v>
      </c>
      <c r="D438" s="137" t="s">
        <v>130</v>
      </c>
      <c r="E438" s="137" t="s">
        <v>181</v>
      </c>
      <c r="F438" s="139" t="s">
        <v>21</v>
      </c>
      <c r="G438" s="149">
        <v>18612014731</v>
      </c>
      <c r="H438" s="142">
        <v>42886</v>
      </c>
      <c r="I438" s="142">
        <f>EDATE(H438,36)</f>
        <v>43982</v>
      </c>
      <c r="J438" s="148">
        <f ca="1">ROUND(I438-NOW(),0)</f>
        <v>-2070</v>
      </c>
      <c r="K438" s="139"/>
      <c r="L438" s="139"/>
      <c r="M438" s="137"/>
    </row>
  </sheetData>
  <sortState ref="A3:AZ347">
    <sortCondition ref="F1"/>
  </sortState>
  <mergeCells count="1">
    <mergeCell ref="H1:L1"/>
  </mergeCells>
  <dataValidations count="9">
    <dataValidation allowBlank="1" showInputMessage="1" showErrorMessage="1" prompt="只需输入身份证号即自动显示该人的性别、出生公历日期、年龄、等相关信息;&#10;身份证号码若录入错误显示为红色" sqref="IK146 SG146 ACC146 ALY146 AVU146 BFQ146 BPM146 BZI146 CJE146 CTA146 DCW146 DMS146 DWO146 EGK146 EQG146 FAC146 FJY146 FTU146 GDQ146 GNM146 GXI146 HHE146 HRA146 IAW146 IKS146 IUO146 JEK146 JOG146 JYC146 KHY146 KRU146 LBQ146 LLM146 LVI146 MFE146 MPA146 MYW146 NIS146 NSO146 OCK146 OMG146 OWC146 PFY146 PPU146 PZQ146 QJM146 QTI146 RDE146 RNA146 RWW146 SGS146 SQO146 TAK146 TKG146 TUC146 UDY146 UNU146 UXQ146 VHM146 VRI146 WBE146 WLA146 WUW146 IK180 SG180 ACC180 ALY180 AVU180 BFQ180 BPM180 BZI180 CJE180 CTA180 DCW180 DMS180 DWO180 EGK180 EQG180 FAC180 FJY180 FTU180 GDQ180 GNM180 GXI180 HHE180 HRA180 IAW180 IKS180 IUO180 JEK180 JOG180 JYC180 KHY180 KRU180 LBQ180 LLM180 LVI180 MFE180 MPA180 MYW180 NIS180 NSO180 OCK180 OMG180 OWC180 PFY180 PPU180 PZQ180 QJM180 QTI180 RDE180 RNA180 RWW180 SGS180 SQO180 TAK180 TKG180 TUC180 UDY180 UNU180 UXQ180 VHM180 VRI180 WBE180 WLA180 WUW180 IL236 SH236 ACD236 ALZ236 AVV236 BFR236 BPN236 BZJ236 CJF236 CTB236 DCX236 DMT236 DWP236 EGL236 EQH236 FAD236 FJZ236 FTV236 GDR236 GNN236 GXJ236 HHF236 HRB236 IAX236 IKT236 IUP236 JEL236 JOH236 JYD236 KHZ236 KRV236 LBR236 LLN236 LVJ236 MFF236 MPB236 MYX236 NIT236 NSP236 OCL236 OMH236 OWD236 PFZ236 PPV236 PZR236 QJN236 QTJ236 RDF236 RNB236 RWX236 SGT236 SQP236 TAL236 TKH236 TUD236 UDZ236 UNV236 UXR236 VHN236 VRJ236 WBF236 WLB236 WUX236 IL241 SH241 ACD241 ALZ241 AVV241 BFR241 BPN241 BZJ241 CJF241 CTB241 DCX241 DMT241 DWP241 EGL241 EQH241 FAD241 FJZ241 FTV241 GDR241 GNN241 GXJ241 HHF241 HRB241 IAX241 IKT241 IUP241 JEL241 JOH241 JYD241 KHZ241 KRV241 LBR241 LLN241 LVJ241 MFF241 MPB241 MYX241 NIT241 NSP241 OCL241 OMH241 OWD241 PFZ241 PPV241 PZR241 QJN241 QTJ241 RDF241 RNB241 RWX241 SGT241 SQP241 TAL241 TKH241 TUD241 UDZ241 UNV241 UXR241 VHN241 VRJ241 WBF241 WLB241 WUX241 IL245 SH245 ACD245 ALZ245 AVV245 BFR245 BPN245 BZJ245 CJF245 CTB245 DCX245 DMT245 DWP245 EGL245 EQH245 FAD245 FJZ245 FTV245 GDR245 GNN245 GXJ245 HHF245 HRB245 IAX245 IKT245 IUP245 JEL245 JOH245 JYD245 KHZ245 KRV245 LBR245 LLN245 LVJ245 MFF245 MPB245 MYX245 NIT245 NSP245 OCL245 OMH245 OWD245 PFZ245 PPV245 PZR245 QJN245 QTJ245 RDF245 RNB245 RWX245 SGT245 SQP245 TAL245 TKH245 TUD245 UDZ245 UNV245 UXR245 VHN245 VRJ245 WBF245 WLB245 WUX245 IL254 SH254 ACD254 ALZ254 AVV254 BFR254 BPN254 BZJ254 CJF254 CTB254 DCX254 DMT254 DWP254 EGL254 EQH254 FAD254 FJZ254 FTV254 GDR254 GNN254 GXJ254 HHF254 HRB254 IAX254 IKT254 IUP254 JEL254 JOH254 JYD254 KHZ254 KRV254 LBR254 LLN254 LVJ254 MFF254 MPB254 MYX254 NIT254 NSP254 OCL254 OMH254 OWD254 PFZ254 PPV254 PZR254 QJN254 QTJ254 RDF254 RNB254 RWX254 SGT254 SQP254 TAL254 TKH254 TUD254 UDZ254 UNV254 UXR254 VHN254 VRJ254 WBF254 WLB254 WUX254 IL265 SH265 ACD265 ALZ265 AVV265 BFR265 BPN265 BZJ265 CJF265 CTB265 DCX265 DMT265 DWP265 EGL265 EQH265 FAD265 FJZ265 FTV265 GDR265 GNN265 GXJ265 HHF265 HRB265 IAX265 IKT265 IUP265 JEL265 JOH265 JYD265 KHZ265 KRV265 LBR265 LLN265 LVJ265 MFF265 MPB265 MYX265 NIT265 NSP265 OCL265 OMH265 OWD265 PFZ265 PPV265 PZR265 QJN265 QTJ265 RDF265 RNB265 RWX265 SGT265 SQP265 TAL265 TKH265 TUD265 UDZ265 UNV265 UXR265 VHN265 VRJ265 WBF265 WLB265 WUX265 IL267 SH267 ACD267 ALZ267 AVV267 BFR267 BPN267 BZJ267 CJF267 CTB267 DCX267 DMT267 DWP267 EGL267 EQH267 FAD267 FJZ267 FTV267 GDR267 GNN267 GXJ267 HHF267 HRB267 IAX267 IKT267 IUP267 JEL267 JOH267 JYD267 KHZ267 KRV267 LBR267 LLN267 LVJ267 MFF267 MPB267 MYX267 NIT267 NSP267 OCL267 OMH267 OWD267 PFZ267 PPV267 PZR267 QJN267 QTJ267 RDF267 RNB267 RWX267 SGT267 SQP267 TAL267 TKH267 TUD267 UDZ267 UNV267 UXR267 VHN267 VRJ267 WBF267 WLB267 WUX267 IL271 SH271 ACD271 ALZ271 AVV271 BFR271 BPN271 BZJ271 CJF271 CTB271 DCX271 DMT271 DWP271 EGL271 EQH271 FAD271 FJZ271 FTV271 GDR271 GNN271 GXJ271 HHF271 HRB271 IAX271 IKT271 IUP271 JEL271 JOH271 JYD271 KHZ271 KRV271 LBR271 LLN271 LVJ271 MFF271 MPB271 MYX271 NIT271 NSP271 OCL271 OMH271 OWD271 PFZ271 PPV271 PZR271 QJN271 QTJ271 RDF271 RNB271 RWX271 SGT271 SQP271 TAL271 TKH271 TUD271 UDZ271 UNV271 UXR271 VHN271 VRJ271 WBF271 WLB271 WUX271 IL280 SH280 ACD280 ALZ280 AVV280 BFR280 BPN280 BZJ280 CJF280 CTB280 DCX280 DMT280 DWP280 EGL280 EQH280 FAD280 FJZ280 FTV280 GDR280 GNN280 GXJ280 HHF280 HRB280 IAX280 IKT280 IUP280 JEL280 JOH280 JYD280 KHZ280 KRV280 LBR280 LLN280 LVJ280 MFF280 MPB280 MYX280 NIT280 NSP280 OCL280 OMH280 OWD280 PFZ280 PPV280 PZR280 QJN280 QTJ280 RDF280 RNB280 RWX280 SGT280 SQP280 TAL280 TKH280 TUD280 UDZ280 UNV280 UXR280 VHN280 VRJ280 WBF280 WLB280 WUX280 IH192:IH193 IK182:IK191 IL195:IL197 IL248:IL250 IL261:IL262 SD192:SD193 SG182:SG191 SH195:SH197 SH248:SH250 SH261:SH262 ABZ192:ABZ193 ACC182:ACC191 ACD195:ACD197 ACD248:ACD250 ACD261:ACD262 ALV192:ALV193 ALY182:ALY191 ALZ195:ALZ197 ALZ248:ALZ250 ALZ261:ALZ262 AVR192:AVR193 AVU182:AVU191 AVV195:AVV197 AVV248:AVV250 AVV261:AVV262 BFN192:BFN193 BFQ182:BFQ191 BFR195:BFR197 BFR248:BFR250 BFR261:BFR262 BPJ192:BPJ193 BPM182:BPM191 BPN195:BPN197 BPN248:BPN250 BPN261:BPN262 BZF192:BZF193 BZI182:BZI191 BZJ195:BZJ197 BZJ248:BZJ250 BZJ261:BZJ262 CJB192:CJB193 CJE182:CJE191 CJF195:CJF197 CJF248:CJF250 CJF261:CJF262 CSX192:CSX193 CTA182:CTA191 CTB195:CTB197 CTB248:CTB250 CTB261:CTB262 DCT192:DCT193 DCW182:DCW191 DCX195:DCX197 DCX248:DCX250 DCX261:DCX262 DMP192:DMP193 DMS182:DMS191 DMT195:DMT197 DMT248:DMT250 DMT261:DMT262 DWL192:DWL193 DWO182:DWO191 DWP195:DWP197 DWP248:DWP250 DWP261:DWP262 EGH192:EGH193 EGK182:EGK191 EGL195:EGL197 EGL248:EGL250 EGL261:EGL262 EQD192:EQD193 EQG182:EQG191 EQH195:EQH197 EQH248:EQH250 EQH261:EQH262 EZZ192:EZZ193 FAC182:FAC191 FAD195:FAD197 FAD248:FAD250 FAD261:FAD262 FJV192:FJV193 FJY182:FJY191 FJZ195:FJZ197 FJZ248:FJZ250 FJZ261:FJZ262 FTR192:FTR193 FTU182:FTU191 FTV195:FTV197 FTV248:FTV250 FTV261:FTV262 GDN192:GDN193 GDQ182:GDQ191 GDR195:GDR197 GDR248:GDR250 GDR261:GDR262 GNJ192:GNJ193 GNM182:GNM191 GNN195:GNN197 GNN248:GNN250 GNN261:GNN262 GXF192:GXF193 GXI182:GXI191 GXJ195:GXJ197 GXJ248:GXJ250 GXJ261:GXJ262 HHB192:HHB193 HHE182:HHE191 HHF195:HHF197 HHF248:HHF250 HHF261:HHF262 HQX192:HQX193 HRA182:HRA191 HRB195:HRB197 HRB248:HRB250 HRB261:HRB262 IAT192:IAT193 IAW182:IAW191 IAX195:IAX197 IAX248:IAX250 IAX261:IAX262 IKP192:IKP193 IKS182:IKS191 IKT195:IKT197 IKT248:IKT250 IKT261:IKT262 IUL192:IUL193 IUO182:IUO191 IUP195:IUP197 IUP248:IUP250 IUP261:IUP262 JEH192:JEH193 JEK182:JEK191 JEL195:JEL197 JEL248:JEL250 JEL261:JEL262 JOD192:JOD193 JOG182:JOG191 JOH195:JOH197 JOH248:JOH250 JOH261:JOH262 JXZ192:JXZ193 JYC182:JYC191 JYD195:JYD197 JYD248:JYD250 JYD261:JYD262 KHV192:KHV193 KHY182:KHY191 KHZ195:KHZ197 KHZ248:KHZ250 KHZ261:KHZ262 KRR192:KRR193 KRU182:KRU191 KRV195:KRV197 KRV248:KRV250 KRV261:KRV262 LBN192:LBN193 LBQ182:LBQ191 LBR195:LBR197 LBR248:LBR250 LBR261:LBR262 LLJ192:LLJ193 LLM182:LLM191 LLN195:LLN197 LLN248:LLN250 LLN261:LLN262 LVF192:LVF193 LVI182:LVI191 LVJ195:LVJ197 LVJ248:LVJ250 LVJ261:LVJ262 MFB192:MFB193 MFE182:MFE191 MFF195:MFF197 MFF248:MFF250 MFF261:MFF262 MOX192:MOX193 MPA182:MPA191 MPB195:MPB197 MPB248:MPB250 MPB261:MPB262 MYT192:MYT193 MYW182:MYW191 MYX195:MYX197 MYX248:MYX250 MYX261:MYX262 NIP192:NIP193 NIS182:NIS191 NIT195:NIT197 NIT248:NIT250 NIT261:NIT262 NSL192:NSL193 NSO182:NSO191 NSP195:NSP197 NSP248:NSP250 NSP261:NSP262 OCH192:OCH193 OCK182:OCK191 OCL195:OCL197 OCL248:OCL250 OCL261:OCL262 OMD192:OMD193 OMG182:OMG191 OMH195:OMH197 OMH248:OMH250 OMH261:OMH262 OVZ192:OVZ193 OWC182:OWC191 OWD195:OWD197 OWD248:OWD250 OWD261:OWD262 PFV192:PFV193 PFY182:PFY191 PFZ195:PFZ197 PFZ248:PFZ250 PFZ261:PFZ262 PPR192:PPR193 PPU182:PPU191 PPV195:PPV197 PPV248:PPV250 PPV261:PPV262 PZN192:PZN193 PZQ182:PZQ191 PZR195:PZR197 PZR248:PZR250 PZR261:PZR262 QJJ192:QJJ193 QJM182:QJM191 QJN195:QJN197 QJN248:QJN250 QJN261:QJN262 QTF192:QTF193 QTI182:QTI191 QTJ195:QTJ197 QTJ248:QTJ250 QTJ261:QTJ262 RDB192:RDB193 RDE182:RDE191 RDF195:RDF197 RDF248:RDF250 RDF261:RDF262 RMX192:RMX193 RNA182:RNA191 RNB195:RNB197 RNB248:RNB250 RNB261:RNB262 RWT192:RWT193 RWW182:RWW191 RWX195:RWX197 RWX248:RWX250 RWX261:RWX262 SGP192:SGP193 SGS182:SGS191 SGT195:SGT197 SGT248:SGT250 SGT261:SGT262 SQL192:SQL193 SQO182:SQO191 SQP195:SQP197 SQP248:SQP250 SQP261:SQP262 TAH192:TAH193 TAK182:TAK191 TAL195:TAL197 TAL248:TAL250 TAL261:TAL262 TKD192:TKD193 TKG182:TKG191 TKH195:TKH197 TKH248:TKH250 TKH261:TKH262 TTZ192:TTZ193 TUC182:TUC191 TUD195:TUD197 TUD248:TUD250 TUD261:TUD262 UDV192:UDV193 UDY182:UDY191 UDZ195:UDZ197 UDZ248:UDZ250 UDZ261:UDZ262 UNR192:UNR193 UNU182:UNU191 UNV195:UNV197 UNV248:UNV250 UNV261:UNV262 UXN192:UXN193 UXQ182:UXQ191 UXR195:UXR197 UXR248:UXR250 UXR261:UXR262 VHJ192:VHJ193 VHM182:VHM191 VHN195:VHN197 VHN248:VHN250 VHN261:VHN262 VRF192:VRF193 VRI182:VRI191 VRJ195:VRJ197 VRJ248:VRJ250 VRJ261:VRJ262 WBB192:WBB193 WBE182:WBE191 WBF195:WBF197 WBF248:WBF250 WBF261:WBF262 WKX192:WKX193 WLA182:WLA191 WLB195:WLB197 WLB248:WLB250 WLB261:WLB262 WUT192:WUT193 WUW182:WUW191 WUX195:WUX197 WUX248:WUX250 WUX261:WUX262"/>
    <dataValidation allowBlank="1" showInputMessage="1" showErrorMessage="1" prompt="输入身份证号码自动显示,无需填写." sqref="IL146:IN146 SH146:SJ146 ACD146:ACF146 ALZ146:AMB146 AVV146:AVX146 BFR146:BFT146 BPN146:BPP146 BZJ146:BZL146 CJF146:CJH146 CTB146:CTD146 DCX146:DCZ146 DMT146:DMV146 DWP146:DWR146 EGL146:EGN146 EQH146:EQJ146 FAD146:FAF146 FJZ146:FKB146 FTV146:FTX146 GDR146:GDT146 GNN146:GNP146 GXJ146:GXL146 HHF146:HHH146 HRB146:HRD146 IAX146:IAZ146 IKT146:IKV146 IUP146:IUR146 JEL146:JEN146 JOH146:JOJ146 JYD146:JYF146 KHZ146:KIB146 KRV146:KRX146 LBR146:LBT146 LLN146:LLP146 LVJ146:LVL146 MFF146:MFH146 MPB146:MPD146 MYX146:MYZ146 NIT146:NIV146 NSP146:NSR146 OCL146:OCN146 OMH146:OMJ146 OWD146:OWF146 PFZ146:PGB146 PPV146:PPX146 PZR146:PZT146 QJN146:QJP146 QTJ146:QTL146 RDF146:RDH146 RNB146:RND146 RWX146:RWZ146 SGT146:SGV146 SQP146:SQR146 TAL146:TAN146 TKH146:TKJ146 TUD146:TUF146 UDZ146:UEB146 UNV146:UNX146 UXR146:UXT146 VHN146:VHP146 VRJ146:VRL146 WBF146:WBH146 WLB146:WLD146 WUX146:WUZ146 IL180:IN180 SH180:SJ180 ACD180:ACF180 ALZ180:AMB180 AVV180:AVX180 BFR180:BFT180 BPN180:BPP180 BZJ180:BZL180 CJF180:CJH180 CTB180:CTD180 DCX180:DCZ180 DMT180:DMV180 DWP180:DWR180 EGL180:EGN180 EQH180:EQJ180 FAD180:FAF180 FJZ180:FKB180 FTV180:FTX180 GDR180:GDT180 GNN180:GNP180 GXJ180:GXL180 HHF180:HHH180 HRB180:HRD180 IAX180:IAZ180 IKT180:IKV180 IUP180:IUR180 JEL180:JEN180 JOH180:JOJ180 JYD180:JYF180 KHZ180:KIB180 KRV180:KRX180 LBR180:LBT180 LLN180:LLP180 LVJ180:LVL180 MFF180:MFH180 MPB180:MPD180 MYX180:MYZ180 NIT180:NIV180 NSP180:NSR180 OCL180:OCN180 OMH180:OMJ180 OWD180:OWF180 PFZ180:PGB180 PPV180:PPX180 PZR180:PZT180 QJN180:QJP180 QTJ180:QTL180 RDF180:RDH180 RNB180:RND180 RWX180:RWZ180 SGT180:SGV180 SQP180:SQR180 TAL180:TAN180 TKH180:TKJ180 TUD180:TUF180 UDZ180:UEB180 UNV180:UNX180 UXR180:UXT180 VHN180:VHP180 VRJ180:VRL180 WBF180:WBH180 WLB180:WLD180 WUX180:WUZ180 IM236:IO236 SI236:SK236 ACE236:ACG236 AMA236:AMC236 AVW236:AVY236 BFS236:BFU236 BPO236:BPQ236 BZK236:BZM236 CJG236:CJI236 CTC236:CTE236 DCY236:DDA236 DMU236:DMW236 DWQ236:DWS236 EGM236:EGO236 EQI236:EQK236 FAE236:FAG236 FKA236:FKC236 FTW236:FTY236 GDS236:GDU236 GNO236:GNQ236 GXK236:GXM236 HHG236:HHI236 HRC236:HRE236 IAY236:IBA236 IKU236:IKW236 IUQ236:IUS236 JEM236:JEO236 JOI236:JOK236 JYE236:JYG236 KIA236:KIC236 KRW236:KRY236 LBS236:LBU236 LLO236:LLQ236 LVK236:LVM236 MFG236:MFI236 MPC236:MPE236 MYY236:MZA236 NIU236:NIW236 NSQ236:NSS236 OCM236:OCO236 OMI236:OMK236 OWE236:OWG236 PGA236:PGC236 PPW236:PPY236 PZS236:PZU236 QJO236:QJQ236 QTK236:QTM236 RDG236:RDI236 RNC236:RNE236 RWY236:RXA236 SGU236:SGW236 SQQ236:SQS236 TAM236:TAO236 TKI236:TKK236 TUE236:TUG236 UEA236:UEC236 UNW236:UNY236 UXS236:UXU236 VHO236:VHQ236 VRK236:VRM236 WBG236:WBI236 WLC236:WLE236 WUY236:WVA236 IM241:IO241 SI241:SK241 ACE241:ACG241 AMA241:AMC241 AVW241:AVY241 BFS241:BFU241 BPO241:BPQ241 BZK241:BZM241 CJG241:CJI241 CTC241:CTE241 DCY241:DDA241 DMU241:DMW241 DWQ241:DWS241 EGM241:EGO241 EQI241:EQK241 FAE241:FAG241 FKA241:FKC241 FTW241:FTY241 GDS241:GDU241 GNO241:GNQ241 GXK241:GXM241 HHG241:HHI241 HRC241:HRE241 IAY241:IBA241 IKU241:IKW241 IUQ241:IUS241 JEM241:JEO241 JOI241:JOK241 JYE241:JYG241 KIA241:KIC241 KRW241:KRY241 LBS241:LBU241 LLO241:LLQ241 LVK241:LVM241 MFG241:MFI241 MPC241:MPE241 MYY241:MZA241 NIU241:NIW241 NSQ241:NSS241 OCM241:OCO241 OMI241:OMK241 OWE241:OWG241 PGA241:PGC241 PPW241:PPY241 PZS241:PZU241 QJO241:QJQ241 QTK241:QTM241 RDG241:RDI241 RNC241:RNE241 RWY241:RXA241 SGU241:SGW241 SQQ241:SQS241 TAM241:TAO241 TKI241:TKK241 TUE241:TUG241 UEA241:UEC241 UNW241:UNY241 UXS241:UXU241 VHO241:VHQ241 VRK241:VRM241 WBG241:WBI241 WLC241:WLE241 WUY241:WVA241 IM245:IO245 SI245:SK245 ACE245:ACG245 AMA245:AMC245 AVW245:AVY245 BFS245:BFU245 BPO245:BPQ245 BZK245:BZM245 CJG245:CJI245 CTC245:CTE245 DCY245:DDA245 DMU245:DMW245 DWQ245:DWS245 EGM245:EGO245 EQI245:EQK245 FAE245:FAG245 FKA245:FKC245 FTW245:FTY245 GDS245:GDU245 GNO245:GNQ245 GXK245:GXM245 HHG245:HHI245 HRC245:HRE245 IAY245:IBA245 IKU245:IKW245 IUQ245:IUS245 JEM245:JEO245 JOI245:JOK245 JYE245:JYG245 KIA245:KIC245 KRW245:KRY245 LBS245:LBU245 LLO245:LLQ245 LVK245:LVM245 MFG245:MFI245 MPC245:MPE245 MYY245:MZA245 NIU245:NIW245 NSQ245:NSS245 OCM245:OCO245 OMI245:OMK245 OWE245:OWG245 PGA245:PGC245 PPW245:PPY245 PZS245:PZU245 QJO245:QJQ245 QTK245:QTM245 RDG245:RDI245 RNC245:RNE245 RWY245:RXA245 SGU245:SGW245 SQQ245:SQS245 TAM245:TAO245 TKI245:TKK245 TUE245:TUG245 UEA245:UEC245 UNW245:UNY245 UXS245:UXU245 VHO245:VHQ245 VRK245:VRM245 WBG245:WBI245 WLC245:WLE245 WUY245:WVA245 IM254:IO254 SI254:SK254 ACE254:ACG254 AMA254:AMC254 AVW254:AVY254 BFS254:BFU254 BPO254:BPQ254 BZK254:BZM254 CJG254:CJI254 CTC254:CTE254 DCY254:DDA254 DMU254:DMW254 DWQ254:DWS254 EGM254:EGO254 EQI254:EQK254 FAE254:FAG254 FKA254:FKC254 FTW254:FTY254 GDS254:GDU254 GNO254:GNQ254 GXK254:GXM254 HHG254:HHI254 HRC254:HRE254 IAY254:IBA254 IKU254:IKW254 IUQ254:IUS254 JEM254:JEO254 JOI254:JOK254 JYE254:JYG254 KIA254:KIC254 KRW254:KRY254 LBS254:LBU254 LLO254:LLQ254 LVK254:LVM254 MFG254:MFI254 MPC254:MPE254 MYY254:MZA254 NIU254:NIW254 NSQ254:NSS254 OCM254:OCO254 OMI254:OMK254 OWE254:OWG254 PGA254:PGC254 PPW254:PPY254 PZS254:PZU254 QJO254:QJQ254 QTK254:QTM254 RDG254:RDI254 RNC254:RNE254 RWY254:RXA254 SGU254:SGW254 SQQ254:SQS254 TAM254:TAO254 TKI254:TKK254 TUE254:TUG254 UEA254:UEC254 UNW254:UNY254 UXS254:UXU254 VHO254:VHQ254 VRK254:VRM254 WBG254:WBI254 WLC254:WLE254 WUY254:WVA254 IM265:IO265 SI265:SK265 ACE265:ACG265 AMA265:AMC265 AVW265:AVY265 BFS265:BFU265 BPO265:BPQ265 BZK265:BZM265 CJG265:CJI265 CTC265:CTE265 DCY265:DDA265 DMU265:DMW265 DWQ265:DWS265 EGM265:EGO265 EQI265:EQK265 FAE265:FAG265 FKA265:FKC265 FTW265:FTY265 GDS265:GDU265 GNO265:GNQ265 GXK265:GXM265 HHG265:HHI265 HRC265:HRE265 IAY265:IBA265 IKU265:IKW265 IUQ265:IUS265 JEM265:JEO265 JOI265:JOK265 JYE265:JYG265 KIA265:KIC265 KRW265:KRY265 LBS265:LBU265 LLO265:LLQ265 LVK265:LVM265 MFG265:MFI265 MPC265:MPE265 MYY265:MZA265 NIU265:NIW265 NSQ265:NSS265 OCM265:OCO265 OMI265:OMK265 OWE265:OWG265 PGA265:PGC265 PPW265:PPY265 PZS265:PZU265 QJO265:QJQ265 QTK265:QTM265 RDG265:RDI265 RNC265:RNE265 RWY265:RXA265 SGU265:SGW265 SQQ265:SQS265 TAM265:TAO265 TKI265:TKK265 TUE265:TUG265 UEA265:UEC265 UNW265:UNY265 UXS265:UXU265 VHO265:VHQ265 VRK265:VRM265 WBG265:WBI265 WLC265:WLE265 WUY265:WVA265 IM267:IO267 SI267:SK267 ACE267:ACG267 AMA267:AMC267 AVW267:AVY267 BFS267:BFU267 BPO267:BPQ267 BZK267:BZM267 CJG267:CJI267 CTC267:CTE267 DCY267:DDA267 DMU267:DMW267 DWQ267:DWS267 EGM267:EGO267 EQI267:EQK267 FAE267:FAG267 FKA267:FKC267 FTW267:FTY267 GDS267:GDU267 GNO267:GNQ267 GXK267:GXM267 HHG267:HHI267 HRC267:HRE267 IAY267:IBA267 IKU267:IKW267 IUQ267:IUS267 JEM267:JEO267 JOI267:JOK267 JYE267:JYG267 KIA267:KIC267 KRW267:KRY267 LBS267:LBU267 LLO267:LLQ267 LVK267:LVM267 MFG267:MFI267 MPC267:MPE267 MYY267:MZA267 NIU267:NIW267 NSQ267:NSS267 OCM267:OCO267 OMI267:OMK267 OWE267:OWG267 PGA267:PGC267 PPW267:PPY267 PZS267:PZU267 QJO267:QJQ267 QTK267:QTM267 RDG267:RDI267 RNC267:RNE267 RWY267:RXA267 SGU267:SGW267 SQQ267:SQS267 TAM267:TAO267 TKI267:TKK267 TUE267:TUG267 UEA267:UEC267 UNW267:UNY267 UXS267:UXU267 VHO267:VHQ267 VRK267:VRM267 WBG267:WBI267 WLC267:WLE267 WUY267:WVA267 IM271:IO271 SI271:SK271 ACE271:ACG271 AMA271:AMC271 AVW271:AVY271 BFS271:BFU271 BPO271:BPQ271 BZK271:BZM271 CJG271:CJI271 CTC271:CTE271 DCY271:DDA271 DMU271:DMW271 DWQ271:DWS271 EGM271:EGO271 EQI271:EQK271 FAE271:FAG271 FKA271:FKC271 FTW271:FTY271 GDS271:GDU271 GNO271:GNQ271 GXK271:GXM271 HHG271:HHI271 HRC271:HRE271 IAY271:IBA271 IKU271:IKW271 IUQ271:IUS271 JEM271:JEO271 JOI271:JOK271 JYE271:JYG271 KIA271:KIC271 KRW271:KRY271 LBS271:LBU271 LLO271:LLQ271 LVK271:LVM271 MFG271:MFI271 MPC271:MPE271 MYY271:MZA271 NIU271:NIW271 NSQ271:NSS271 OCM271:OCO271 OMI271:OMK271 OWE271:OWG271 PGA271:PGC271 PPW271:PPY271 PZS271:PZU271 QJO271:QJQ271 QTK271:QTM271 RDG271:RDI271 RNC271:RNE271 RWY271:RXA271 SGU271:SGW271 SQQ271:SQS271 TAM271:TAO271 TKI271:TKK271 TUE271:TUG271 UEA271:UEC271 UNW271:UNY271 UXS271:UXU271 VHO271:VHQ271 VRK271:VRM271 WBG271:WBI271 WLC271:WLE271 WUY271:WVA271 IM280:IO280 SI280:SK280 ACE280:ACG280 AMA280:AMC280 AVW280:AVY280 BFS280:BFU280 BPO280:BPQ280 BZK280:BZM280 CJG280:CJI280 CTC280:CTE280 DCY280:DDA280 DMU280:DMW280 DWQ280:DWS280 EGM280:EGO280 EQI280:EQK280 FAE280:FAG280 FKA280:FKC280 FTW280:FTY280 GDS280:GDU280 GNO280:GNQ280 GXK280:GXM280 HHG280:HHI280 HRC280:HRE280 IAY280:IBA280 IKU280:IKW280 IUQ280:IUS280 JEM280:JEO280 JOI280:JOK280 JYE280:JYG280 KIA280:KIC280 KRW280:KRY280 LBS280:LBU280 LLO280:LLQ280 LVK280:LVM280 MFG280:MFI280 MPC280:MPE280 MYY280:MZA280 NIU280:NIW280 NSQ280:NSS280 OCM280:OCO280 OMI280:OMK280 OWE280:OWG280 PGA280:PGC280 PPW280:PPY280 PZS280:PZU280 QJO280:QJQ280 QTK280:QTM280 RDG280:RDI280 RNC280:RNE280 RWY280:RXA280 SGU280:SGW280 SQQ280:SQS280 TAM280:TAO280 TKI280:TKK280 TUE280:TUG280 UEA280:UEC280 UNW280:UNY280 UXS280:UXU280 VHO280:VHQ280 VRK280:VRM280 WBG280:WBI280 WLC280:WLE280 WUY280:WVA280 II192:IK193 ALW192:ALY193 BPK192:BPM193 CSY192:CTA193 DWM192:DWO193 FAA192:FAC193 GDO192:GDQ193 HHC192:HHE193 IKQ192:IKS193 JOE192:JOG193 KRS192:KRU193 LVG192:LVI193 MYU192:MYW193 OCI192:OCK193 PFW192:PFY193 QJK192:QJM193 RMY192:RNA193 SQM192:SQO193 TUA192:TUC193 UXO192:UXQ193 WBC192:WBE193 SE192:SG193 AVS192:AVU193 BZG192:BZI193 DCU192:DCW193 EGI192:EGK193 FJW192:FJY193 GNK192:GNM193 HQY192:HRA193 IUM192:IUO193 JYA192:JYC193 LBO192:LBQ193 MFC192:MFE193 NIQ192:NIS193 OME192:OMG193 PPS192:PPU193 QTG192:QTI193 RWU192:RWW193 TAI192:TAK193 UDW192:UDY193 VHK192:VHM193 WKY192:WLA193 ACA192:ACC193 BFO192:BFQ193 CJC192:CJE193 DMQ192:DMS193 EQE192:EQG193 FTS192:FTU193 GXG192:GXI193 IAU192:IAW193 JEI192:JEK193 KHW192:KHY193 LLK192:LLM193 MOY192:MPA193 NSM192:NSO193 OWA192:OWC193 PZO192:PZQ193 RDC192:RDE193 SGQ192:SGS193 TKE192:TKG193 UNS192:UNU193 VRG192:VRI193 WUU192:WUW193 IM248:IO250 AMA248:AMC250 BPO248:BPQ250 CTC248:CTE250 DWQ248:DWS250 FAE248:FAG250 GDS248:GDU250 HHG248:HHI250 IKU248:IKW250 JOI248:JOK250 KRW248:KRY250 LVK248:LVM250 MYY248:MZA250 OCM248:OCO250 PGA248:PGC250 QJO248:QJQ250 RNC248:RNE250 SQQ248:SQS250 TUE248:TUG250 UXS248:UXU250 WBG248:WBI250 SI248:SK250 AVW248:AVY250 BZK248:BZM250 DCY248:DDA250 EGM248:EGO250 FKA248:FKC250 GNO248:GNQ250 HRC248:HRE250 IUQ248:IUS250 JYE248:JYG250 LBS248:LBU250 MFG248:MFI250 NIU248:NIW250 OMI248:OMK250 PPW248:PPY250 QTK248:QTM250 RWY248:RXA250 TAM248:TAO250 UEA248:UEC250 VHO248:VHQ250 WLC248:WLE250 ACE248:ACG250 BFS248:BFU250 CJG248:CJI250 DMU248:DMW250 EQI248:EQK250 FTW248:FTY250 GXK248:GXM250 IAY248:IBA250 JEM248:JEO250 KIA248:KIC250 LLO248:LLQ250 MPC248:MPE250 NSQ248:NSS250 OWE248:OWG250 PZS248:PZU250 RDG248:RDI250 SGU248:SGW250 TKI248:TKK250 UNW248:UNY250 VRK248:VRM250 WUY248:WVA250 IL182:IN191 ALZ182:AMB191 BPN182:BPP191 CTB182:CTD191 DWP182:DWR191 FAD182:FAF191 GDR182:GDT191 HHF182:HHH191 IKT182:IKV191 JOH182:JOJ191 KRV182:KRX191 LVJ182:LVL191 MYX182:MYZ191 OCL182:OCN191 PFZ182:PGB191 QJN182:QJP191 RNB182:RND191 SQP182:SQR191 TUD182:TUF191 UXR182:UXT191 WBF182:WBH191 ACD182:ACF191 BFR182:BFT191 CJF182:CJH191 DMT182:DMV191 EQH182:EQJ191 FTV182:FTX191 GXJ182:GXL191 IAX182:IAZ191 JEL182:JEN191 KHZ182:KIB191 LLN182:LLP191 MPB182:MPD191 NSP182:NSR191 OWD182:OWF191 PZR182:PZT191 RDF182:RDH191 SGT182:SGV191 TKH182:TKJ191 UNV182:UNX191 VRJ182:VRL191 WUX182:WUZ191 SH182:SJ191 AVV182:AVX191 BZJ182:BZL191 DCX182:DCZ191 EGL182:EGN191 FJZ182:FKB191 GNN182:GNP191 HRB182:HRD191 IUP182:IUR191 JYD182:JYF191 LBR182:LBT191 MFF182:MFH191 NIT182:NIV191 OMH182:OMJ191 PPV182:PPX191 QTJ182:QTL191 RWX182:RWZ191 TAL182:TAN191 UDZ182:UEB191 VHN182:VHP191 WLB182:WLD191 IM195:IO197 AMA195:AMC197 BPO195:BPQ197 CTC195:CTE197 DWQ195:DWS197 FAE195:FAG197 GDS195:GDU197 HHG195:HHI197 IKU195:IKW197 JOI195:JOK197 KRW195:KRY197 LVK195:LVM197 MYY195:MZA197 OCM195:OCO197 PGA195:PGC197 QJO195:QJQ197 RNC195:RNE197 SQQ195:SQS197 TUE195:TUG197 UXS195:UXU197 WBG195:WBI197 SI195:SK197 AVW195:AVY197 BZK195:BZM197 DCY195:DDA197 EGM195:EGO197 FKA195:FKC197 GNO195:GNQ197 HRC195:HRE197 IUQ195:IUS197 JYE195:JYG197 LBS195:LBU197 MFG195:MFI197 NIU195:NIW197 OMI195:OMK197 PPW195:PPY197 QTK195:QTM197 RWY195:RXA197 TAM195:TAO197 UEA195:UEC197 VHO195:VHQ197 WLC195:WLE197 ACE195:ACG197 BFS195:BFU197 CJG195:CJI197 DMU195:DMW197 EQI195:EQK197 FTW195:FTY197 GXK195:GXM197 IAY195:IBA197 JEM195:JEO197 KIA195:KIC197 LLO195:LLQ197 MPC195:MPE197 NSQ195:NSS197 OWE195:OWG197 PZS195:PZU197 RDG195:RDI197 SGU195:SGW197 TKI195:TKK197 UNW195:UNY197 VRK195:VRM197 WUY195:WVA197 IM261:IO262 AMA261:AMC262 BPO261:BPQ262 CTC261:CTE262 DWQ261:DWS262 FAE261:FAG262 GDS261:GDU262 HHG261:HHI262 IKU261:IKW262 JOI261:JOK262 KRW261:KRY262 LVK261:LVM262 MYY261:MZA262 OCM261:OCO262 PGA261:PGC262 QJO261:QJQ262 RNC261:RNE262 SQQ261:SQS262 TUE261:TUG262 UXS261:UXU262 WBG261:WBI262 SI261:SK262 AVW261:AVY262 BZK261:BZM262 DCY261:DDA262 EGM261:EGO262 FKA261:FKC262 GNO261:GNQ262 HRC261:HRE262 IUQ261:IUS262 JYE261:JYG262 LBS261:LBU262 MFG261:MFI262 NIU261:NIW262 OMI261:OMK262 PPW261:PPY262 QTK261:QTM262 RWY261:RXA262 TAM261:TAO262 UEA261:UEC262 VHO261:VHQ262 WLC261:WLE262 ACE261:ACG262 BFS261:BFU262 CJG261:CJI262 DMU261:DMW262 EQI261:EQK262 FTW261:FTY262 GXK261:GXM262 IAY261:IBA262 JEM261:JEO262 KIA261:KIC262 LLO261:LLQ262 MPC261:MPE262 NSQ261:NSS262 OWE261:OWG262 PZS261:PZU262 RDG261:RDI262 SGU261:SGW262 TKI261:TKK262 UNW261:UNY262 VRK261:VRM262 WUY261:WVA262"/>
    <dataValidation type="list" allowBlank="1" showInputMessage="1" showErrorMessage="1" sqref="IO146 SK146 ACG146 AMC146 AVY146 BFU146 BPQ146 BZM146 CJI146 CTE146 DDA146 DMW146 DWS146 EGO146 EQK146 FAG146 FKC146 FTY146 GDU146 GNQ146 GXM146 HHI146 HRE146 IBA146 IKW146 IUS146 JEO146 JOK146 JYG146 KIC146 KRY146 LBU146 LLQ146 LVM146 MFI146 MPE146 MZA146 NIW146 NSS146 OCO146 OMK146 OWG146 PGC146 PPY146 PZU146 QJQ146 QTM146 RDI146 RNE146 RXA146 SGW146 SQS146 TAO146 TKK146 TUG146 UEC146 UNY146 UXU146 VHQ146 VRM146 WBI146 WLE146 WVA146 IO180 SK180 ACG180 AMC180 AVY180 BFU180 BPQ180 BZM180 CJI180 CTE180 DDA180 DMW180 DWS180 EGO180 EQK180 FAG180 FKC180 FTY180 GDU180 GNQ180 GXM180 HHI180 HRE180 IBA180 IKW180 IUS180 JEO180 JOK180 JYG180 KIC180 KRY180 LBU180 LLQ180 LVM180 MFI180 MPE180 MZA180 NIW180 NSS180 OCO180 OMK180 OWG180 PGC180 PPY180 PZU180 QJQ180 QTM180 RDI180 RNE180 RXA180 SGW180 SQS180 TAO180 TKK180 TUG180 UEC180 UNY180 UXU180 VHQ180 VRM180 WBI180 WLE180 WVA180 IP236 SL236 ACH236 AMD236 AVZ236 BFV236 BPR236 BZN236 CJJ236 CTF236 DDB236 DMX236 DWT236 EGP236 EQL236 FAH236 FKD236 FTZ236 GDV236 GNR236 GXN236 HHJ236 HRF236 IBB236 IKX236 IUT236 JEP236 JOL236 JYH236 KID236 KRZ236 LBV236 LLR236 LVN236 MFJ236 MPF236 MZB236 NIX236 NST236 OCP236 OML236 OWH236 PGD236 PPZ236 PZV236 QJR236 QTN236 RDJ236 RNF236 RXB236 SGX236 SQT236 TAP236 TKL236 TUH236 UED236 UNZ236 UXV236 VHR236 VRN236 WBJ236 WLF236 WVB236 IP241 SL241 ACH241 AMD241 AVZ241 BFV241 BPR241 BZN241 CJJ241 CTF241 DDB241 DMX241 DWT241 EGP241 EQL241 FAH241 FKD241 FTZ241 GDV241 GNR241 GXN241 HHJ241 HRF241 IBB241 IKX241 IUT241 JEP241 JOL241 JYH241 KID241 KRZ241 LBV241 LLR241 LVN241 MFJ241 MPF241 MZB241 NIX241 NST241 OCP241 OML241 OWH241 PGD241 PPZ241 PZV241 QJR241 QTN241 RDJ241 RNF241 RXB241 SGX241 SQT241 TAP241 TKL241 TUH241 UED241 UNZ241 UXV241 VHR241 VRN241 WBJ241 WLF241 WVB241 IP245 SL245 ACH245 AMD245 AVZ245 BFV245 BPR245 BZN245 CJJ245 CTF245 DDB245 DMX245 DWT245 EGP245 EQL245 FAH245 FKD245 FTZ245 GDV245 GNR245 GXN245 HHJ245 HRF245 IBB245 IKX245 IUT245 JEP245 JOL245 JYH245 KID245 KRZ245 LBV245 LLR245 LVN245 MFJ245 MPF245 MZB245 NIX245 NST245 OCP245 OML245 OWH245 PGD245 PPZ245 PZV245 QJR245 QTN245 RDJ245 RNF245 RXB245 SGX245 SQT245 TAP245 TKL245 TUH245 UED245 UNZ245 UXV245 VHR245 VRN245 WBJ245 WLF245 WVB245 IP254 SL254 ACH254 AMD254 AVZ254 BFV254 BPR254 BZN254 CJJ254 CTF254 DDB254 DMX254 DWT254 EGP254 EQL254 FAH254 FKD254 FTZ254 GDV254 GNR254 GXN254 HHJ254 HRF254 IBB254 IKX254 IUT254 JEP254 JOL254 JYH254 KID254 KRZ254 LBV254 LLR254 LVN254 MFJ254 MPF254 MZB254 NIX254 NST254 OCP254 OML254 OWH254 PGD254 PPZ254 PZV254 QJR254 QTN254 RDJ254 RNF254 RXB254 SGX254 SQT254 TAP254 TKL254 TUH254 UED254 UNZ254 UXV254 VHR254 VRN254 WBJ254 WLF254 WVB254 IP265 SL265 ACH265 AMD265 AVZ265 BFV265 BPR265 BZN265 CJJ265 CTF265 DDB265 DMX265 DWT265 EGP265 EQL265 FAH265 FKD265 FTZ265 GDV265 GNR265 GXN265 HHJ265 HRF265 IBB265 IKX265 IUT265 JEP265 JOL265 JYH265 KID265 KRZ265 LBV265 LLR265 LVN265 MFJ265 MPF265 MZB265 NIX265 NST265 OCP265 OML265 OWH265 PGD265 PPZ265 PZV265 QJR265 QTN265 RDJ265 RNF265 RXB265 SGX265 SQT265 TAP265 TKL265 TUH265 UED265 UNZ265 UXV265 VHR265 VRN265 WBJ265 WLF265 WVB265 IP267 SL267 ACH267 AMD267 AVZ267 BFV267 BPR267 BZN267 CJJ267 CTF267 DDB267 DMX267 DWT267 EGP267 EQL267 FAH267 FKD267 FTZ267 GDV267 GNR267 GXN267 HHJ267 HRF267 IBB267 IKX267 IUT267 JEP267 JOL267 JYH267 KID267 KRZ267 LBV267 LLR267 LVN267 MFJ267 MPF267 MZB267 NIX267 NST267 OCP267 OML267 OWH267 PGD267 PPZ267 PZV267 QJR267 QTN267 RDJ267 RNF267 RXB267 SGX267 SQT267 TAP267 TKL267 TUH267 UED267 UNZ267 UXV267 VHR267 VRN267 WBJ267 WLF267 WVB267 IP271 SL271 ACH271 AMD271 AVZ271 BFV271 BPR271 BZN271 CJJ271 CTF271 DDB271 DMX271 DWT271 EGP271 EQL271 FAH271 FKD271 FTZ271 GDV271 GNR271 GXN271 HHJ271 HRF271 IBB271 IKX271 IUT271 JEP271 JOL271 JYH271 KID271 KRZ271 LBV271 LLR271 LVN271 MFJ271 MPF271 MZB271 NIX271 NST271 OCP271 OML271 OWH271 PGD271 PPZ271 PZV271 QJR271 QTN271 RDJ271 RNF271 RXB271 SGX271 SQT271 TAP271 TKL271 TUH271 UED271 UNZ271 UXV271 VHR271 VRN271 WBJ271 WLF271 WVB271 IP280 SL280 ACH280 AMD280 AVZ280 BFV280 BPR280 BZN280 CJJ280 CTF280 DDB280 DMX280 DWT280 EGP280 EQL280 FAH280 FKD280 FTZ280 GDV280 GNR280 GXN280 HHJ280 HRF280 IBB280 IKX280 IUT280 JEP280 JOL280 JYH280 KID280 KRZ280 LBV280 LLR280 LVN280 MFJ280 MPF280 MZB280 NIX280 NST280 OCP280 OML280 OWH280 PGD280 PPZ280 PZV280 QJR280 QTN280 RDJ280 RNF280 RXB280 SGX280 SQT280 TAP280 TKL280 TUH280 UED280 UNZ280 UXV280 VHR280 VRN280 WBJ280 WLF280 WVB280 IL192:IL193 IO182:IO191 IP195:IP197 IP248:IP250 IP261:IP262 SH192:SH193 SK182:SK191 SL195:SL197 SL248:SL250 SL261:SL262 ACD192:ACD193 ACG182:ACG191 ACH195:ACH197 ACH248:ACH250 ACH261:ACH262 ALZ192:ALZ193 AMC182:AMC191 AMD195:AMD197 AMD248:AMD250 AMD261:AMD262 AVV192:AVV193 AVY182:AVY191 AVZ195:AVZ197 AVZ248:AVZ250 AVZ261:AVZ262 BFR192:BFR193 BFU182:BFU191 BFV195:BFV197 BFV248:BFV250 BFV261:BFV262 BPN192:BPN193 BPQ182:BPQ191 BPR195:BPR197 BPR248:BPR250 BPR261:BPR262 BZJ192:BZJ193 BZM182:BZM191 BZN195:BZN197 BZN248:BZN250 BZN261:BZN262 CJF192:CJF193 CJI182:CJI191 CJJ195:CJJ197 CJJ248:CJJ250 CJJ261:CJJ262 CTB192:CTB193 CTE182:CTE191 CTF195:CTF197 CTF248:CTF250 CTF261:CTF262 DCX192:DCX193 DDA182:DDA191 DDB195:DDB197 DDB248:DDB250 DDB261:DDB262 DMT192:DMT193 DMW182:DMW191 DMX195:DMX197 DMX248:DMX250 DMX261:DMX262 DWP192:DWP193 DWS182:DWS191 DWT195:DWT197 DWT248:DWT250 DWT261:DWT262 EGL192:EGL193 EGO182:EGO191 EGP195:EGP197 EGP248:EGP250 EGP261:EGP262 EQH192:EQH193 EQK182:EQK191 EQL195:EQL197 EQL248:EQL250 EQL261:EQL262 FAD192:FAD193 FAG182:FAG191 FAH195:FAH197 FAH248:FAH250 FAH261:FAH262 FJZ192:FJZ193 FKC182:FKC191 FKD195:FKD197 FKD248:FKD250 FKD261:FKD262 FTV192:FTV193 FTY182:FTY191 FTZ195:FTZ197 FTZ248:FTZ250 FTZ261:FTZ262 GDR192:GDR193 GDU182:GDU191 GDV195:GDV197 GDV248:GDV250 GDV261:GDV262 GNN192:GNN193 GNQ182:GNQ191 GNR195:GNR197 GNR248:GNR250 GNR261:GNR262 GXJ192:GXJ193 GXM182:GXM191 GXN195:GXN197 GXN248:GXN250 GXN261:GXN262 HHF192:HHF193 HHI182:HHI191 HHJ195:HHJ197 HHJ248:HHJ250 HHJ261:HHJ262 HRB192:HRB193 HRE182:HRE191 HRF195:HRF197 HRF248:HRF250 HRF261:HRF262 IAX192:IAX193 IBA182:IBA191 IBB195:IBB197 IBB248:IBB250 IBB261:IBB262 IKT192:IKT193 IKW182:IKW191 IKX195:IKX197 IKX248:IKX250 IKX261:IKX262 IUP192:IUP193 IUS182:IUS191 IUT195:IUT197 IUT248:IUT250 IUT261:IUT262 JEL192:JEL193 JEO182:JEO191 JEP195:JEP197 JEP248:JEP250 JEP261:JEP262 JOH192:JOH193 JOK182:JOK191 JOL195:JOL197 JOL248:JOL250 JOL261:JOL262 JYD192:JYD193 JYG182:JYG191 JYH195:JYH197 JYH248:JYH250 JYH261:JYH262 KHZ192:KHZ193 KIC182:KIC191 KID195:KID197 KID248:KID250 KID261:KID262 KRV192:KRV193 KRY182:KRY191 KRZ195:KRZ197 KRZ248:KRZ250 KRZ261:KRZ262 LBR192:LBR193 LBU182:LBU191 LBV195:LBV197 LBV248:LBV250 LBV261:LBV262 LLN192:LLN193 LLQ182:LLQ191 LLR195:LLR197 LLR248:LLR250 LLR261:LLR262 LVJ192:LVJ193 LVM182:LVM191 LVN195:LVN197 LVN248:LVN250 LVN261:LVN262 MFF192:MFF193 MFI182:MFI191 MFJ195:MFJ197 MFJ248:MFJ250 MFJ261:MFJ262 MPB192:MPB193 MPE182:MPE191 MPF195:MPF197 MPF248:MPF250 MPF261:MPF262 MYX192:MYX193 MZA182:MZA191 MZB195:MZB197 MZB248:MZB250 MZB261:MZB262 NIT192:NIT193 NIW182:NIW191 NIX195:NIX197 NIX248:NIX250 NIX261:NIX262 NSP192:NSP193 NSS182:NSS191 NST195:NST197 NST248:NST250 NST261:NST262 OCL192:OCL193 OCO182:OCO191 OCP195:OCP197 OCP248:OCP250 OCP261:OCP262 OMH192:OMH193 OMK182:OMK191 OML195:OML197 OML248:OML250 OML261:OML262 OWD192:OWD193 OWG182:OWG191 OWH195:OWH197 OWH248:OWH250 OWH261:OWH262 PFZ192:PFZ193 PGC182:PGC191 PGD195:PGD197 PGD248:PGD250 PGD261:PGD262 PPV192:PPV193 PPY182:PPY191 PPZ195:PPZ197 PPZ248:PPZ250 PPZ261:PPZ262 PZR192:PZR193 PZU182:PZU191 PZV195:PZV197 PZV248:PZV250 PZV261:PZV262 QJN192:QJN193 QJQ182:QJQ191 QJR195:QJR197 QJR248:QJR250 QJR261:QJR262 QTJ192:QTJ193 QTM182:QTM191 QTN195:QTN197 QTN248:QTN250 QTN261:QTN262 RDF192:RDF193 RDI182:RDI191 RDJ195:RDJ197 RDJ248:RDJ250 RDJ261:RDJ262 RNB192:RNB193 RNE182:RNE191 RNF195:RNF197 RNF248:RNF250 RNF261:RNF262 RWX192:RWX193 RXA182:RXA191 RXB195:RXB197 RXB248:RXB250 RXB261:RXB262 SGT192:SGT193 SGW182:SGW191 SGX195:SGX197 SGX248:SGX250 SGX261:SGX262 SQP192:SQP193 SQS182:SQS191 SQT195:SQT197 SQT248:SQT250 SQT261:SQT262 TAL192:TAL193 TAO182:TAO191 TAP195:TAP197 TAP248:TAP250 TAP261:TAP262 TKH192:TKH193 TKK182:TKK191 TKL195:TKL197 TKL248:TKL250 TKL261:TKL262 TUD192:TUD193 TUG182:TUG191 TUH195:TUH197 TUH248:TUH250 TUH261:TUH262 UDZ192:UDZ193 UEC182:UEC191 UED195:UED197 UED248:UED250 UED261:UED262 UNV192:UNV193 UNY182:UNY191 UNZ195:UNZ197 UNZ248:UNZ250 UNZ261:UNZ262 UXR192:UXR193 UXU182:UXU191 UXV195:UXV197 UXV248:UXV250 UXV261:UXV262 VHN192:VHN193 VHQ182:VHQ191 VHR195:VHR197 VHR248:VHR250 VHR261:VHR262 VRJ192:VRJ193 VRM182:VRM191 VRN195:VRN197 VRN248:VRN250 VRN261:VRN262 WBF192:WBF193 WBI182:WBI191 WBJ195:WBJ197 WBJ248:WBJ250 WBJ261:WBJ262 WLB192:WLB193 WLE182:WLE191 WLF195:WLF197 WLF248:WLF250 WLF261:WLF262 WUX192:WUX193 WVA182:WVA191 WVB195:WVB197 WVB248:WVB250 WVB261:WVB262">
      <formula1>"汉族,满族,回族,蒙古族,朝鲜族,壮族,侗族,锡伯族,土家族"</formula1>
    </dataValidation>
    <dataValidation type="list" allowBlank="1" showInputMessage="1" showErrorMessage="1" sqref="IP146 SL146 ACH146 AMD146 AVZ146 BFV146 BPR146 BZN146 CJJ146 CTF146 DDB146 DMX146 DWT146 EGP146 EQL146 FAH146 FKD146 FTZ146 GDV146 GNR146 GXN146 HHJ146 HRF146 IBB146 IKX146 IUT146 JEP146 JOL146 JYH146 KID146 KRZ146 LBV146 LLR146 LVN146 MFJ146 MPF146 MZB146 NIX146 NST146 OCP146 OML146 OWH146 PGD146 PPZ146 PZV146 QJR146 QTN146 RDJ146 RNF146 RXB146 SGX146 SQT146 TAP146 TKL146 TUH146 UED146 UNZ146 UXV146 VHR146 VRN146 WBJ146 WLF146 WVB146 IP180 SL180 ACH180 AMD180 AVZ180 BFV180 BPR180 BZN180 CJJ180 CTF180 DDB180 DMX180 DWT180 EGP180 EQL180 FAH180 FKD180 FTZ180 GDV180 GNR180 GXN180 HHJ180 HRF180 IBB180 IKX180 IUT180 JEP180 JOL180 JYH180 KID180 KRZ180 LBV180 LLR180 LVN180 MFJ180 MPF180 MZB180 NIX180 NST180 OCP180 OML180 OWH180 PGD180 PPZ180 PZV180 QJR180 QTN180 RDJ180 RNF180 RXB180 SGX180 SQT180 TAP180 TKL180 TUH180 UED180 UNZ180 UXV180 VHR180 VRN180 WBJ180 WLF180 WVB180 IQ236 SM236 ACI236 AME236 AWA236 BFW236 BPS236 BZO236 CJK236 CTG236 DDC236 DMY236 DWU236 EGQ236 EQM236 FAI236 FKE236 FUA236 GDW236 GNS236 GXO236 HHK236 HRG236 IBC236 IKY236 IUU236 JEQ236 JOM236 JYI236 KIE236 KSA236 LBW236 LLS236 LVO236 MFK236 MPG236 MZC236 NIY236 NSU236 OCQ236 OMM236 OWI236 PGE236 PQA236 PZW236 QJS236 QTO236 RDK236 RNG236 RXC236 SGY236 SQU236 TAQ236 TKM236 TUI236 UEE236 UOA236 UXW236 VHS236 VRO236 WBK236 WLG236 WVC236 IQ241 SM241 ACI241 AME241 AWA241 BFW241 BPS241 BZO241 CJK241 CTG241 DDC241 DMY241 DWU241 EGQ241 EQM241 FAI241 FKE241 FUA241 GDW241 GNS241 GXO241 HHK241 HRG241 IBC241 IKY241 IUU241 JEQ241 JOM241 JYI241 KIE241 KSA241 LBW241 LLS241 LVO241 MFK241 MPG241 MZC241 NIY241 NSU241 OCQ241 OMM241 OWI241 PGE241 PQA241 PZW241 QJS241 QTO241 RDK241 RNG241 RXC241 SGY241 SQU241 TAQ241 TKM241 TUI241 UEE241 UOA241 UXW241 VHS241 VRO241 WBK241 WLG241 WVC241 IQ245 SM245 ACI245 AME245 AWA245 BFW245 BPS245 BZO245 CJK245 CTG245 DDC245 DMY245 DWU245 EGQ245 EQM245 FAI245 FKE245 FUA245 GDW245 GNS245 GXO245 HHK245 HRG245 IBC245 IKY245 IUU245 JEQ245 JOM245 JYI245 KIE245 KSA245 LBW245 LLS245 LVO245 MFK245 MPG245 MZC245 NIY245 NSU245 OCQ245 OMM245 OWI245 PGE245 PQA245 PZW245 QJS245 QTO245 RDK245 RNG245 RXC245 SGY245 SQU245 TAQ245 TKM245 TUI245 UEE245 UOA245 UXW245 VHS245 VRO245 WBK245 WLG245 WVC245 IQ254 SM254 ACI254 AME254 AWA254 BFW254 BPS254 BZO254 CJK254 CTG254 DDC254 DMY254 DWU254 EGQ254 EQM254 FAI254 FKE254 FUA254 GDW254 GNS254 GXO254 HHK254 HRG254 IBC254 IKY254 IUU254 JEQ254 JOM254 JYI254 KIE254 KSA254 LBW254 LLS254 LVO254 MFK254 MPG254 MZC254 NIY254 NSU254 OCQ254 OMM254 OWI254 PGE254 PQA254 PZW254 QJS254 QTO254 RDK254 RNG254 RXC254 SGY254 SQU254 TAQ254 TKM254 TUI254 UEE254 UOA254 UXW254 VHS254 VRO254 WBK254 WLG254 WVC254 IQ265 SM265 ACI265 AME265 AWA265 BFW265 BPS265 BZO265 CJK265 CTG265 DDC265 DMY265 DWU265 EGQ265 EQM265 FAI265 FKE265 FUA265 GDW265 GNS265 GXO265 HHK265 HRG265 IBC265 IKY265 IUU265 JEQ265 JOM265 JYI265 KIE265 KSA265 LBW265 LLS265 LVO265 MFK265 MPG265 MZC265 NIY265 NSU265 OCQ265 OMM265 OWI265 PGE265 PQA265 PZW265 QJS265 QTO265 RDK265 RNG265 RXC265 SGY265 SQU265 TAQ265 TKM265 TUI265 UEE265 UOA265 UXW265 VHS265 VRO265 WBK265 WLG265 WVC265 IQ267 SM267 ACI267 AME267 AWA267 BFW267 BPS267 BZO267 CJK267 CTG267 DDC267 DMY267 DWU267 EGQ267 EQM267 FAI267 FKE267 FUA267 GDW267 GNS267 GXO267 HHK267 HRG267 IBC267 IKY267 IUU267 JEQ267 JOM267 JYI267 KIE267 KSA267 LBW267 LLS267 LVO267 MFK267 MPG267 MZC267 NIY267 NSU267 OCQ267 OMM267 OWI267 PGE267 PQA267 PZW267 QJS267 QTO267 RDK267 RNG267 RXC267 SGY267 SQU267 TAQ267 TKM267 TUI267 UEE267 UOA267 UXW267 VHS267 VRO267 WBK267 WLG267 WVC267 IQ271 SM271 ACI271 AME271 AWA271 BFW271 BPS271 BZO271 CJK271 CTG271 DDC271 DMY271 DWU271 EGQ271 EQM271 FAI271 FKE271 FUA271 GDW271 GNS271 GXO271 HHK271 HRG271 IBC271 IKY271 IUU271 JEQ271 JOM271 JYI271 KIE271 KSA271 LBW271 LLS271 LVO271 MFK271 MPG271 MZC271 NIY271 NSU271 OCQ271 OMM271 OWI271 PGE271 PQA271 PZW271 QJS271 QTO271 RDK271 RNG271 RXC271 SGY271 SQU271 TAQ271 TKM271 TUI271 UEE271 UOA271 UXW271 VHS271 VRO271 WBK271 WLG271 WVC271 IQ280 SM280 ACI280 AME280 AWA280 BFW280 BPS280 BZO280 CJK280 CTG280 DDC280 DMY280 DWU280 EGQ280 EQM280 FAI280 FKE280 FUA280 GDW280 GNS280 GXO280 HHK280 HRG280 IBC280 IKY280 IUU280 JEQ280 JOM280 JYI280 KIE280 KSA280 LBW280 LLS280 LVO280 MFK280 MPG280 MZC280 NIY280 NSU280 OCQ280 OMM280 OWI280 PGE280 PQA280 PZW280 QJS280 QTO280 RDK280 RNG280 RXC280 SGY280 SQU280 TAQ280 TKM280 TUI280 UEE280 UOA280 UXW280 VHS280 VRO280 WBK280 WLG280 WVC280 IM192:IM193 IP182:IP191 IQ195:IQ197 IQ248:IQ250 IQ261:IQ262 SI192:SI193 SL182:SL191 SM195:SM197 SM248:SM250 SM261:SM262 ACE192:ACE193 ACH182:ACH191 ACI195:ACI197 ACI248:ACI250 ACI261:ACI262 AMA192:AMA193 AMD182:AMD191 AME195:AME197 AME248:AME250 AME261:AME262 AVW192:AVW193 AVZ182:AVZ191 AWA195:AWA197 AWA248:AWA250 AWA261:AWA262 BFS192:BFS193 BFV182:BFV191 BFW195:BFW197 BFW248:BFW250 BFW261:BFW262 BPO192:BPO193 BPR182:BPR191 BPS195:BPS197 BPS248:BPS250 BPS261:BPS262 BZK192:BZK193 BZN182:BZN191 BZO195:BZO197 BZO248:BZO250 BZO261:BZO262 CJG192:CJG193 CJJ182:CJJ191 CJK195:CJK197 CJK248:CJK250 CJK261:CJK262 CTC192:CTC193 CTF182:CTF191 CTG195:CTG197 CTG248:CTG250 CTG261:CTG262 DCY192:DCY193 DDB182:DDB191 DDC195:DDC197 DDC248:DDC250 DDC261:DDC262 DMU192:DMU193 DMX182:DMX191 DMY195:DMY197 DMY248:DMY250 DMY261:DMY262 DWQ192:DWQ193 DWT182:DWT191 DWU195:DWU197 DWU248:DWU250 DWU261:DWU262 EGM192:EGM193 EGP182:EGP191 EGQ195:EGQ197 EGQ248:EGQ250 EGQ261:EGQ262 EQI192:EQI193 EQL182:EQL191 EQM195:EQM197 EQM248:EQM250 EQM261:EQM262 FAE192:FAE193 FAH182:FAH191 FAI195:FAI197 FAI248:FAI250 FAI261:FAI262 FKA192:FKA193 FKD182:FKD191 FKE195:FKE197 FKE248:FKE250 FKE261:FKE262 FTW192:FTW193 FTZ182:FTZ191 FUA195:FUA197 FUA248:FUA250 FUA261:FUA262 GDS192:GDS193 GDV182:GDV191 GDW195:GDW197 GDW248:GDW250 GDW261:GDW262 GNO192:GNO193 GNR182:GNR191 GNS195:GNS197 GNS248:GNS250 GNS261:GNS262 GXK192:GXK193 GXN182:GXN191 GXO195:GXO197 GXO248:GXO250 GXO261:GXO262 HHG192:HHG193 HHJ182:HHJ191 HHK195:HHK197 HHK248:HHK250 HHK261:HHK262 HRC192:HRC193 HRF182:HRF191 HRG195:HRG197 HRG248:HRG250 HRG261:HRG262 IAY192:IAY193 IBB182:IBB191 IBC195:IBC197 IBC248:IBC250 IBC261:IBC262 IKU192:IKU193 IKX182:IKX191 IKY195:IKY197 IKY248:IKY250 IKY261:IKY262 IUQ192:IUQ193 IUT182:IUT191 IUU195:IUU197 IUU248:IUU250 IUU261:IUU262 JEM192:JEM193 JEP182:JEP191 JEQ195:JEQ197 JEQ248:JEQ250 JEQ261:JEQ262 JOI192:JOI193 JOL182:JOL191 JOM195:JOM197 JOM248:JOM250 JOM261:JOM262 JYE192:JYE193 JYH182:JYH191 JYI195:JYI197 JYI248:JYI250 JYI261:JYI262 KIA192:KIA193 KID182:KID191 KIE195:KIE197 KIE248:KIE250 KIE261:KIE262 KRW192:KRW193 KRZ182:KRZ191 KSA195:KSA197 KSA248:KSA250 KSA261:KSA262 LBS192:LBS193 LBV182:LBV191 LBW195:LBW197 LBW248:LBW250 LBW261:LBW262 LLO192:LLO193 LLR182:LLR191 LLS195:LLS197 LLS248:LLS250 LLS261:LLS262 LVK192:LVK193 LVN182:LVN191 LVO195:LVO197 LVO248:LVO250 LVO261:LVO262 MFG192:MFG193 MFJ182:MFJ191 MFK195:MFK197 MFK248:MFK250 MFK261:MFK262 MPC192:MPC193 MPF182:MPF191 MPG195:MPG197 MPG248:MPG250 MPG261:MPG262 MYY192:MYY193 MZB182:MZB191 MZC195:MZC197 MZC248:MZC250 MZC261:MZC262 NIU192:NIU193 NIX182:NIX191 NIY195:NIY197 NIY248:NIY250 NIY261:NIY262 NSQ192:NSQ193 NST182:NST191 NSU195:NSU197 NSU248:NSU250 NSU261:NSU262 OCM192:OCM193 OCP182:OCP191 OCQ195:OCQ197 OCQ248:OCQ250 OCQ261:OCQ262 OMI192:OMI193 OML182:OML191 OMM195:OMM197 OMM248:OMM250 OMM261:OMM262 OWE192:OWE193 OWH182:OWH191 OWI195:OWI197 OWI248:OWI250 OWI261:OWI262 PGA192:PGA193 PGD182:PGD191 PGE195:PGE197 PGE248:PGE250 PGE261:PGE262 PPW192:PPW193 PPZ182:PPZ191 PQA195:PQA197 PQA248:PQA250 PQA261:PQA262 PZS192:PZS193 PZV182:PZV191 PZW195:PZW197 PZW248:PZW250 PZW261:PZW262 QJO192:QJO193 QJR182:QJR191 QJS195:QJS197 QJS248:QJS250 QJS261:QJS262 QTK192:QTK193 QTN182:QTN191 QTO195:QTO197 QTO248:QTO250 QTO261:QTO262 RDG192:RDG193 RDJ182:RDJ191 RDK195:RDK197 RDK248:RDK250 RDK261:RDK262 RNC192:RNC193 RNF182:RNF191 RNG195:RNG197 RNG248:RNG250 RNG261:RNG262 RWY192:RWY193 RXB182:RXB191 RXC195:RXC197 RXC248:RXC250 RXC261:RXC262 SGU192:SGU193 SGX182:SGX191 SGY195:SGY197 SGY248:SGY250 SGY261:SGY262 SQQ192:SQQ193 SQT182:SQT191 SQU195:SQU197 SQU248:SQU250 SQU261:SQU262 TAM192:TAM193 TAP182:TAP191 TAQ195:TAQ197 TAQ248:TAQ250 TAQ261:TAQ262 TKI192:TKI193 TKL182:TKL191 TKM195:TKM197 TKM248:TKM250 TKM261:TKM262 TUE192:TUE193 TUH182:TUH191 TUI195:TUI197 TUI248:TUI250 TUI261:TUI262 UEA192:UEA193 UED182:UED191 UEE195:UEE197 UEE248:UEE250 UEE261:UEE262 UNW192:UNW193 UNZ182:UNZ191 UOA195:UOA197 UOA248:UOA250 UOA261:UOA262 UXS192:UXS193 UXV182:UXV191 UXW195:UXW197 UXW248:UXW250 UXW261:UXW262 VHO192:VHO193 VHR182:VHR191 VHS195:VHS197 VHS248:VHS250 VHS261:VHS262 VRK192:VRK193 VRN182:VRN191 VRO195:VRO197 VRO248:VRO250 VRO261:VRO262 WBG192:WBG193 WBJ182:WBJ191 WBK195:WBK197 WBK248:WBK250 WBK261:WBK262 WLC192:WLC193 WLF182:WLF191 WLG195:WLG197 WLG248:WLG250 WLG261:WLG262 WUY192:WUY193 WVB182:WVB191 WVC195:WVC197 WVC248:WVC250 WVC261:WVC262">
      <formula1>"已婚,未婚,离异"</formula1>
    </dataValidation>
    <dataValidation type="list" allowBlank="1" showInputMessage="1" showErrorMessage="1" sqref="IQ146 SM146 ACI146 AME146 AWA146 BFW146 BPS146 BZO146 CJK146 CTG146 DDC146 DMY146 DWU146 EGQ146 EQM146 FAI146 FKE146 FUA146 GDW146 GNS146 GXO146 HHK146 HRG146 IBC146 IKY146 IUU146 JEQ146 JOM146 JYI146 KIE146 KSA146 LBW146 LLS146 LVO146 MFK146 MPG146 MZC146 NIY146 NSU146 OCQ146 OMM146 OWI146 PGE146 PQA146 PZW146 QJS146 QTO146 RDK146 RNG146 RXC146 SGY146 SQU146 TAQ146 TKM146 TUI146 UEE146 UOA146 UXW146 VHS146 VRO146 WBK146 WLG146 WVC146 IQ180 SM180 ACI180 AME180 AWA180 BFW180 BPS180 BZO180 CJK180 CTG180 DDC180 DMY180 DWU180 EGQ180 EQM180 FAI180 FKE180 FUA180 GDW180 GNS180 GXO180 HHK180 HRG180 IBC180 IKY180 IUU180 JEQ180 JOM180 JYI180 KIE180 KSA180 LBW180 LLS180 LVO180 MFK180 MPG180 MZC180 NIY180 NSU180 OCQ180 OMM180 OWI180 PGE180 PQA180 PZW180 QJS180 QTO180 RDK180 RNG180 RXC180 SGY180 SQU180 TAQ180 TKM180 TUI180 UEE180 UOA180 UXW180 VHS180 VRO180 WBK180 WLG180 WVC180 IR236 SN236 ACJ236 AMF236 AWB236 BFX236 BPT236 BZP236 CJL236 CTH236 DDD236 DMZ236 DWV236 EGR236 EQN236 FAJ236 FKF236 FUB236 GDX236 GNT236 GXP236 HHL236 HRH236 IBD236 IKZ236 IUV236 JER236 JON236 JYJ236 KIF236 KSB236 LBX236 LLT236 LVP236 MFL236 MPH236 MZD236 NIZ236 NSV236 OCR236 OMN236 OWJ236 PGF236 PQB236 PZX236 QJT236 QTP236 RDL236 RNH236 RXD236 SGZ236 SQV236 TAR236 TKN236 TUJ236 UEF236 UOB236 UXX236 VHT236 VRP236 WBL236 WLH236 WVD236 IR241 SN241 ACJ241 AMF241 AWB241 BFX241 BPT241 BZP241 CJL241 CTH241 DDD241 DMZ241 DWV241 EGR241 EQN241 FAJ241 FKF241 FUB241 GDX241 GNT241 GXP241 HHL241 HRH241 IBD241 IKZ241 IUV241 JER241 JON241 JYJ241 KIF241 KSB241 LBX241 LLT241 LVP241 MFL241 MPH241 MZD241 NIZ241 NSV241 OCR241 OMN241 OWJ241 PGF241 PQB241 PZX241 QJT241 QTP241 RDL241 RNH241 RXD241 SGZ241 SQV241 TAR241 TKN241 TUJ241 UEF241 UOB241 UXX241 VHT241 VRP241 WBL241 WLH241 WVD241 IR245 SN245 ACJ245 AMF245 AWB245 BFX245 BPT245 BZP245 CJL245 CTH245 DDD245 DMZ245 DWV245 EGR245 EQN245 FAJ245 FKF245 FUB245 GDX245 GNT245 GXP245 HHL245 HRH245 IBD245 IKZ245 IUV245 JER245 JON245 JYJ245 KIF245 KSB245 LBX245 LLT245 LVP245 MFL245 MPH245 MZD245 NIZ245 NSV245 OCR245 OMN245 OWJ245 PGF245 PQB245 PZX245 QJT245 QTP245 RDL245 RNH245 RXD245 SGZ245 SQV245 TAR245 TKN245 TUJ245 UEF245 UOB245 UXX245 VHT245 VRP245 WBL245 WLH245 WVD245 IR254 SN254 ACJ254 AMF254 AWB254 BFX254 BPT254 BZP254 CJL254 CTH254 DDD254 DMZ254 DWV254 EGR254 EQN254 FAJ254 FKF254 FUB254 GDX254 GNT254 GXP254 HHL254 HRH254 IBD254 IKZ254 IUV254 JER254 JON254 JYJ254 KIF254 KSB254 LBX254 LLT254 LVP254 MFL254 MPH254 MZD254 NIZ254 NSV254 OCR254 OMN254 OWJ254 PGF254 PQB254 PZX254 QJT254 QTP254 RDL254 RNH254 RXD254 SGZ254 SQV254 TAR254 TKN254 TUJ254 UEF254 UOB254 UXX254 VHT254 VRP254 WBL254 WLH254 WVD254 IR265 SN265 ACJ265 AMF265 AWB265 BFX265 BPT265 BZP265 CJL265 CTH265 DDD265 DMZ265 DWV265 EGR265 EQN265 FAJ265 FKF265 FUB265 GDX265 GNT265 GXP265 HHL265 HRH265 IBD265 IKZ265 IUV265 JER265 JON265 JYJ265 KIF265 KSB265 LBX265 LLT265 LVP265 MFL265 MPH265 MZD265 NIZ265 NSV265 OCR265 OMN265 OWJ265 PGF265 PQB265 PZX265 QJT265 QTP265 RDL265 RNH265 RXD265 SGZ265 SQV265 TAR265 TKN265 TUJ265 UEF265 UOB265 UXX265 VHT265 VRP265 WBL265 WLH265 WVD265 IR267 SN267 ACJ267 AMF267 AWB267 BFX267 BPT267 BZP267 CJL267 CTH267 DDD267 DMZ267 DWV267 EGR267 EQN267 FAJ267 FKF267 FUB267 GDX267 GNT267 GXP267 HHL267 HRH267 IBD267 IKZ267 IUV267 JER267 JON267 JYJ267 KIF267 KSB267 LBX267 LLT267 LVP267 MFL267 MPH267 MZD267 NIZ267 NSV267 OCR267 OMN267 OWJ267 PGF267 PQB267 PZX267 QJT267 QTP267 RDL267 RNH267 RXD267 SGZ267 SQV267 TAR267 TKN267 TUJ267 UEF267 UOB267 UXX267 VHT267 VRP267 WBL267 WLH267 WVD267 IR271 SN271 ACJ271 AMF271 AWB271 BFX271 BPT271 BZP271 CJL271 CTH271 DDD271 DMZ271 DWV271 EGR271 EQN271 FAJ271 FKF271 FUB271 GDX271 GNT271 GXP271 HHL271 HRH271 IBD271 IKZ271 IUV271 JER271 JON271 JYJ271 KIF271 KSB271 LBX271 LLT271 LVP271 MFL271 MPH271 MZD271 NIZ271 NSV271 OCR271 OMN271 OWJ271 PGF271 PQB271 PZX271 QJT271 QTP271 RDL271 RNH271 RXD271 SGZ271 SQV271 TAR271 TKN271 TUJ271 UEF271 UOB271 UXX271 VHT271 VRP271 WBL271 WLH271 WVD271 IR280 SN280 ACJ280 AMF280 AWB280 BFX280 BPT280 BZP280 CJL280 CTH280 DDD280 DMZ280 DWV280 EGR280 EQN280 FAJ280 FKF280 FUB280 GDX280 GNT280 GXP280 HHL280 HRH280 IBD280 IKZ280 IUV280 JER280 JON280 JYJ280 KIF280 KSB280 LBX280 LLT280 LVP280 MFL280 MPH280 MZD280 NIZ280 NSV280 OCR280 OMN280 OWJ280 PGF280 PQB280 PZX280 QJT280 QTP280 RDL280 RNH280 RXD280 SGZ280 SQV280 TAR280 TKN280 TUJ280 UEF280 UOB280 UXX280 VHT280 VRP280 WBL280 WLH280 WVD280 IN192:IN193 IQ182:IQ191 IR195:IR197 IR248:IR250 IR261:IR262 SJ192:SJ193 SM182:SM191 SN195:SN197 SN248:SN250 SN261:SN262 ACF192:ACF193 ACI182:ACI191 ACJ195:ACJ197 ACJ248:ACJ250 ACJ261:ACJ262 AMB192:AMB193 AME182:AME191 AMF195:AMF197 AMF248:AMF250 AMF261:AMF262 AVX192:AVX193 AWA182:AWA191 AWB195:AWB197 AWB248:AWB250 AWB261:AWB262 BFT192:BFT193 BFW182:BFW191 BFX195:BFX197 BFX248:BFX250 BFX261:BFX262 BPP192:BPP193 BPS182:BPS191 BPT195:BPT197 BPT248:BPT250 BPT261:BPT262 BZL192:BZL193 BZO182:BZO191 BZP195:BZP197 BZP248:BZP250 BZP261:BZP262 CJH192:CJH193 CJK182:CJK191 CJL195:CJL197 CJL248:CJL250 CJL261:CJL262 CTD192:CTD193 CTG182:CTG191 CTH195:CTH197 CTH248:CTH250 CTH261:CTH262 DCZ192:DCZ193 DDC182:DDC191 DDD195:DDD197 DDD248:DDD250 DDD261:DDD262 DMV192:DMV193 DMY182:DMY191 DMZ195:DMZ197 DMZ248:DMZ250 DMZ261:DMZ262 DWR192:DWR193 DWU182:DWU191 DWV195:DWV197 DWV248:DWV250 DWV261:DWV262 EGN192:EGN193 EGQ182:EGQ191 EGR195:EGR197 EGR248:EGR250 EGR261:EGR262 EQJ192:EQJ193 EQM182:EQM191 EQN195:EQN197 EQN248:EQN250 EQN261:EQN262 FAF192:FAF193 FAI182:FAI191 FAJ195:FAJ197 FAJ248:FAJ250 FAJ261:FAJ262 FKB192:FKB193 FKE182:FKE191 FKF195:FKF197 FKF248:FKF250 FKF261:FKF262 FTX192:FTX193 FUA182:FUA191 FUB195:FUB197 FUB248:FUB250 FUB261:FUB262 GDT192:GDT193 GDW182:GDW191 GDX195:GDX197 GDX248:GDX250 GDX261:GDX262 GNP192:GNP193 GNS182:GNS191 GNT195:GNT197 GNT248:GNT250 GNT261:GNT262 GXL192:GXL193 GXO182:GXO191 GXP195:GXP197 GXP248:GXP250 GXP261:GXP262 HHH192:HHH193 HHK182:HHK191 HHL195:HHL197 HHL248:HHL250 HHL261:HHL262 HRD192:HRD193 HRG182:HRG191 HRH195:HRH197 HRH248:HRH250 HRH261:HRH262 IAZ192:IAZ193 IBC182:IBC191 IBD195:IBD197 IBD248:IBD250 IBD261:IBD262 IKV192:IKV193 IKY182:IKY191 IKZ195:IKZ197 IKZ248:IKZ250 IKZ261:IKZ262 IUR192:IUR193 IUU182:IUU191 IUV195:IUV197 IUV248:IUV250 IUV261:IUV262 JEN192:JEN193 JEQ182:JEQ191 JER195:JER197 JER248:JER250 JER261:JER262 JOJ192:JOJ193 JOM182:JOM191 JON195:JON197 JON248:JON250 JON261:JON262 JYF192:JYF193 JYI182:JYI191 JYJ195:JYJ197 JYJ248:JYJ250 JYJ261:JYJ262 KIB192:KIB193 KIE182:KIE191 KIF195:KIF197 KIF248:KIF250 KIF261:KIF262 KRX192:KRX193 KSA182:KSA191 KSB195:KSB197 KSB248:KSB250 KSB261:KSB262 LBT192:LBT193 LBW182:LBW191 LBX195:LBX197 LBX248:LBX250 LBX261:LBX262 LLP192:LLP193 LLS182:LLS191 LLT195:LLT197 LLT248:LLT250 LLT261:LLT262 LVL192:LVL193 LVO182:LVO191 LVP195:LVP197 LVP248:LVP250 LVP261:LVP262 MFH192:MFH193 MFK182:MFK191 MFL195:MFL197 MFL248:MFL250 MFL261:MFL262 MPD192:MPD193 MPG182:MPG191 MPH195:MPH197 MPH248:MPH250 MPH261:MPH262 MYZ192:MYZ193 MZC182:MZC191 MZD195:MZD197 MZD248:MZD250 MZD261:MZD262 NIV192:NIV193 NIY182:NIY191 NIZ195:NIZ197 NIZ248:NIZ250 NIZ261:NIZ262 NSR192:NSR193 NSU182:NSU191 NSV195:NSV197 NSV248:NSV250 NSV261:NSV262 OCN192:OCN193 OCQ182:OCQ191 OCR195:OCR197 OCR248:OCR250 OCR261:OCR262 OMJ192:OMJ193 OMM182:OMM191 OMN195:OMN197 OMN248:OMN250 OMN261:OMN262 OWF192:OWF193 OWI182:OWI191 OWJ195:OWJ197 OWJ248:OWJ250 OWJ261:OWJ262 PGB192:PGB193 PGE182:PGE191 PGF195:PGF197 PGF248:PGF250 PGF261:PGF262 PPX192:PPX193 PQA182:PQA191 PQB195:PQB197 PQB248:PQB250 PQB261:PQB262 PZT192:PZT193 PZW182:PZW191 PZX195:PZX197 PZX248:PZX250 PZX261:PZX262 QJP192:QJP193 QJS182:QJS191 QJT195:QJT197 QJT248:QJT250 QJT261:QJT262 QTL192:QTL193 QTO182:QTO191 QTP195:QTP197 QTP248:QTP250 QTP261:QTP262 RDH192:RDH193 RDK182:RDK191 RDL195:RDL197 RDL248:RDL250 RDL261:RDL262 RND192:RND193 RNG182:RNG191 RNH195:RNH197 RNH248:RNH250 RNH261:RNH262 RWZ192:RWZ193 RXC182:RXC191 RXD195:RXD197 RXD248:RXD250 RXD261:RXD262 SGV192:SGV193 SGY182:SGY191 SGZ195:SGZ197 SGZ248:SGZ250 SGZ261:SGZ262 SQR192:SQR193 SQU182:SQU191 SQV195:SQV197 SQV248:SQV250 SQV261:SQV262 TAN192:TAN193 TAQ182:TAQ191 TAR195:TAR197 TAR248:TAR250 TAR261:TAR262 TKJ192:TKJ193 TKM182:TKM191 TKN195:TKN197 TKN248:TKN250 TKN261:TKN262 TUF192:TUF193 TUI182:TUI191 TUJ195:TUJ197 TUJ248:TUJ250 TUJ261:TUJ262 UEB192:UEB193 UEE182:UEE191 UEF195:UEF197 UEF248:UEF250 UEF261:UEF262 UNX192:UNX193 UOA182:UOA191 UOB195:UOB197 UOB248:UOB250 UOB261:UOB262 UXT192:UXT193 UXW182:UXW191 UXX195:UXX197 UXX248:UXX250 UXX261:UXX262 VHP192:VHP193 VHS182:VHS191 VHT195:VHT197 VHT248:VHT250 VHT261:VHT262 VRL192:VRL193 VRO182:VRO191 VRP195:VRP197 VRP248:VRP250 VRP261:VRP262 WBH192:WBH193 WBK182:WBK191 WBL195:WBL197 WBL248:WBL250 WBL261:WBL262 WLD192:WLD193 WLG182:WLG191 WLH195:WLH197 WLH248:WLH250 WLH261:WLH262 WUZ192:WUZ193 WVC182:WVC191 WVD195:WVD197 WVD248:WVD250 WVD261:WVD262">
      <formula1>"城镇户口,非城镇户口"</formula1>
    </dataValidation>
    <dataValidation allowBlank="1" showInputMessage="1" showErrorMessage="1" prompt="输入入职日期自动显示,无需填写." sqref="IS146:IT146 SO146:SP146 ACK146:ACL146 AMG146:AMH146 AWC146:AWD146 BFY146:BFZ146 BPU146:BPV146 BZQ146:BZR146 CJM146:CJN146 CTI146:CTJ146 DDE146:DDF146 DNA146:DNB146 DWW146:DWX146 EGS146:EGT146 EQO146:EQP146 FAK146:FAL146 FKG146:FKH146 FUC146:FUD146 GDY146:GDZ146 GNU146:GNV146 GXQ146:GXR146 HHM146:HHN146 HRI146:HRJ146 IBE146:IBF146 ILA146:ILB146 IUW146:IUX146 JES146:JET146 JOO146:JOP146 JYK146:JYL146 KIG146:KIH146 KSC146:KSD146 LBY146:LBZ146 LLU146:LLV146 LVQ146:LVR146 MFM146:MFN146 MPI146:MPJ146 MZE146:MZF146 NJA146:NJB146 NSW146:NSX146 OCS146:OCT146 OMO146:OMP146 OWK146:OWL146 PGG146:PGH146 PQC146:PQD146 PZY146:PZZ146 QJU146:QJV146 QTQ146:QTR146 RDM146:RDN146 RNI146:RNJ146 RXE146:RXF146 SHA146:SHB146 SQW146:SQX146 TAS146:TAT146 TKO146:TKP146 TUK146:TUL146 UEG146:UEH146 UOC146:UOD146 UXY146:UXZ146 VHU146:VHV146 VRQ146:VRR146 WBM146:WBN146 WLI146:WLJ146 WVE146:WVF146 IS180:IT180 SO180:SP180 ACK180:ACL180 AMG180:AMH180 AWC180:AWD180 BFY180:BFZ180 BPU180:BPV180 BZQ180:BZR180 CJM180:CJN180 CTI180:CTJ180 DDE180:DDF180 DNA180:DNB180 DWW180:DWX180 EGS180:EGT180 EQO180:EQP180 FAK180:FAL180 FKG180:FKH180 FUC180:FUD180 GDY180:GDZ180 GNU180:GNV180 GXQ180:GXR180 HHM180:HHN180 HRI180:HRJ180 IBE180:IBF180 ILA180:ILB180 IUW180:IUX180 JES180:JET180 JOO180:JOP180 JYK180:JYL180 KIG180:KIH180 KSC180:KSD180 LBY180:LBZ180 LLU180:LLV180 LVQ180:LVR180 MFM180:MFN180 MPI180:MPJ180 MZE180:MZF180 NJA180:NJB180 NSW180:NSX180 OCS180:OCT180 OMO180:OMP180 OWK180:OWL180 PGG180:PGH180 PQC180:PQD180 PZY180:PZZ180 QJU180:QJV180 QTQ180:QTR180 RDM180:RDN180 RNI180:RNJ180 RXE180:RXF180 SHA180:SHB180 SQW180:SQX180 TAS180:TAT180 TKO180:TKP180 TUK180:TUL180 UEG180:UEH180 UOC180:UOD180 UXY180:UXZ180 VHU180:VHV180 VRQ180:VRR180 WBM180:WBN180 WLI180:WLJ180 WVE180:WVF180 IT236:IU236 SP236:SQ236 ACL236:ACM236 AMH236:AMI236 AWD236:AWE236 BFZ236:BGA236 BPV236:BPW236 BZR236:BZS236 CJN236:CJO236 CTJ236:CTK236 DDF236:DDG236 DNB236:DNC236 DWX236:DWY236 EGT236:EGU236 EQP236:EQQ236 FAL236:FAM236 FKH236:FKI236 FUD236:FUE236 GDZ236:GEA236 GNV236:GNW236 GXR236:GXS236 HHN236:HHO236 HRJ236:HRK236 IBF236:IBG236 ILB236:ILC236 IUX236:IUY236 JET236:JEU236 JOP236:JOQ236 JYL236:JYM236 KIH236:KII236 KSD236:KSE236 LBZ236:LCA236 LLV236:LLW236 LVR236:LVS236 MFN236:MFO236 MPJ236:MPK236 MZF236:MZG236 NJB236:NJC236 NSX236:NSY236 OCT236:OCU236 OMP236:OMQ236 OWL236:OWM236 PGH236:PGI236 PQD236:PQE236 PZZ236:QAA236 QJV236:QJW236 QTR236:QTS236 RDN236:RDO236 RNJ236:RNK236 RXF236:RXG236 SHB236:SHC236 SQX236:SQY236 TAT236:TAU236 TKP236:TKQ236 TUL236:TUM236 UEH236:UEI236 UOD236:UOE236 UXZ236:UYA236 VHV236:VHW236 VRR236:VRS236 WBN236:WBO236 WLJ236:WLK236 WVF236:WVG236 IT241:IU241 SP241:SQ241 ACL241:ACM241 AMH241:AMI241 AWD241:AWE241 BFZ241:BGA241 BPV241:BPW241 BZR241:BZS241 CJN241:CJO241 CTJ241:CTK241 DDF241:DDG241 DNB241:DNC241 DWX241:DWY241 EGT241:EGU241 EQP241:EQQ241 FAL241:FAM241 FKH241:FKI241 FUD241:FUE241 GDZ241:GEA241 GNV241:GNW241 GXR241:GXS241 HHN241:HHO241 HRJ241:HRK241 IBF241:IBG241 ILB241:ILC241 IUX241:IUY241 JET241:JEU241 JOP241:JOQ241 JYL241:JYM241 KIH241:KII241 KSD241:KSE241 LBZ241:LCA241 LLV241:LLW241 LVR241:LVS241 MFN241:MFO241 MPJ241:MPK241 MZF241:MZG241 NJB241:NJC241 NSX241:NSY241 OCT241:OCU241 OMP241:OMQ241 OWL241:OWM241 PGH241:PGI241 PQD241:PQE241 PZZ241:QAA241 QJV241:QJW241 QTR241:QTS241 RDN241:RDO241 RNJ241:RNK241 RXF241:RXG241 SHB241:SHC241 SQX241:SQY241 TAT241:TAU241 TKP241:TKQ241 TUL241:TUM241 UEH241:UEI241 UOD241:UOE241 UXZ241:UYA241 VHV241:VHW241 VRR241:VRS241 WBN241:WBO241 WLJ241:WLK241 WVF241:WVG241 IT245:IU245 SP245:SQ245 ACL245:ACM245 AMH245:AMI245 AWD245:AWE245 BFZ245:BGA245 BPV245:BPW245 BZR245:BZS245 CJN245:CJO245 CTJ245:CTK245 DDF245:DDG245 DNB245:DNC245 DWX245:DWY245 EGT245:EGU245 EQP245:EQQ245 FAL245:FAM245 FKH245:FKI245 FUD245:FUE245 GDZ245:GEA245 GNV245:GNW245 GXR245:GXS245 HHN245:HHO245 HRJ245:HRK245 IBF245:IBG245 ILB245:ILC245 IUX245:IUY245 JET245:JEU245 JOP245:JOQ245 JYL245:JYM245 KIH245:KII245 KSD245:KSE245 LBZ245:LCA245 LLV245:LLW245 LVR245:LVS245 MFN245:MFO245 MPJ245:MPK245 MZF245:MZG245 NJB245:NJC245 NSX245:NSY245 OCT245:OCU245 OMP245:OMQ245 OWL245:OWM245 PGH245:PGI245 PQD245:PQE245 PZZ245:QAA245 QJV245:QJW245 QTR245:QTS245 RDN245:RDO245 RNJ245:RNK245 RXF245:RXG245 SHB245:SHC245 SQX245:SQY245 TAT245:TAU245 TKP245:TKQ245 TUL245:TUM245 UEH245:UEI245 UOD245:UOE245 UXZ245:UYA245 VHV245:VHW245 VRR245:VRS245 WBN245:WBO245 WLJ245:WLK245 WVF245:WVG245 IT254:IU254 SP254:SQ254 ACL254:ACM254 AMH254:AMI254 AWD254:AWE254 BFZ254:BGA254 BPV254:BPW254 BZR254:BZS254 CJN254:CJO254 CTJ254:CTK254 DDF254:DDG254 DNB254:DNC254 DWX254:DWY254 EGT254:EGU254 EQP254:EQQ254 FAL254:FAM254 FKH254:FKI254 FUD254:FUE254 GDZ254:GEA254 GNV254:GNW254 GXR254:GXS254 HHN254:HHO254 HRJ254:HRK254 IBF254:IBG254 ILB254:ILC254 IUX254:IUY254 JET254:JEU254 JOP254:JOQ254 JYL254:JYM254 KIH254:KII254 KSD254:KSE254 LBZ254:LCA254 LLV254:LLW254 LVR254:LVS254 MFN254:MFO254 MPJ254:MPK254 MZF254:MZG254 NJB254:NJC254 NSX254:NSY254 OCT254:OCU254 OMP254:OMQ254 OWL254:OWM254 PGH254:PGI254 PQD254:PQE254 PZZ254:QAA254 QJV254:QJW254 QTR254:QTS254 RDN254:RDO254 RNJ254:RNK254 RXF254:RXG254 SHB254:SHC254 SQX254:SQY254 TAT254:TAU254 TKP254:TKQ254 TUL254:TUM254 UEH254:UEI254 UOD254:UOE254 UXZ254:UYA254 VHV254:VHW254 VRR254:VRS254 WBN254:WBO254 WLJ254:WLK254 WVF254:WVG254 IT265:IU265 SP265:SQ265 ACL265:ACM265 AMH265:AMI265 AWD265:AWE265 BFZ265:BGA265 BPV265:BPW265 BZR265:BZS265 CJN265:CJO265 CTJ265:CTK265 DDF265:DDG265 DNB265:DNC265 DWX265:DWY265 EGT265:EGU265 EQP265:EQQ265 FAL265:FAM265 FKH265:FKI265 FUD265:FUE265 GDZ265:GEA265 GNV265:GNW265 GXR265:GXS265 HHN265:HHO265 HRJ265:HRK265 IBF265:IBG265 ILB265:ILC265 IUX265:IUY265 JET265:JEU265 JOP265:JOQ265 JYL265:JYM265 KIH265:KII265 KSD265:KSE265 LBZ265:LCA265 LLV265:LLW265 LVR265:LVS265 MFN265:MFO265 MPJ265:MPK265 MZF265:MZG265 NJB265:NJC265 NSX265:NSY265 OCT265:OCU265 OMP265:OMQ265 OWL265:OWM265 PGH265:PGI265 PQD265:PQE265 PZZ265:QAA265 QJV265:QJW265 QTR265:QTS265 RDN265:RDO265 RNJ265:RNK265 RXF265:RXG265 SHB265:SHC265 SQX265:SQY265 TAT265:TAU265 TKP265:TKQ265 TUL265:TUM265 UEH265:UEI265 UOD265:UOE265 UXZ265:UYA265 VHV265:VHW265 VRR265:VRS265 WBN265:WBO265 WLJ265:WLK265 WVF265:WVG265 IT267:IU267 SP267:SQ267 ACL267:ACM267 AMH267:AMI267 AWD267:AWE267 BFZ267:BGA267 BPV267:BPW267 BZR267:BZS267 CJN267:CJO267 CTJ267:CTK267 DDF267:DDG267 DNB267:DNC267 DWX267:DWY267 EGT267:EGU267 EQP267:EQQ267 FAL267:FAM267 FKH267:FKI267 FUD267:FUE267 GDZ267:GEA267 GNV267:GNW267 GXR267:GXS267 HHN267:HHO267 HRJ267:HRK267 IBF267:IBG267 ILB267:ILC267 IUX267:IUY267 JET267:JEU267 JOP267:JOQ267 JYL267:JYM267 KIH267:KII267 KSD267:KSE267 LBZ267:LCA267 LLV267:LLW267 LVR267:LVS267 MFN267:MFO267 MPJ267:MPK267 MZF267:MZG267 NJB267:NJC267 NSX267:NSY267 OCT267:OCU267 OMP267:OMQ267 OWL267:OWM267 PGH267:PGI267 PQD267:PQE267 PZZ267:QAA267 QJV267:QJW267 QTR267:QTS267 RDN267:RDO267 RNJ267:RNK267 RXF267:RXG267 SHB267:SHC267 SQX267:SQY267 TAT267:TAU267 TKP267:TKQ267 TUL267:TUM267 UEH267:UEI267 UOD267:UOE267 UXZ267:UYA267 VHV267:VHW267 VRR267:VRS267 WBN267:WBO267 WLJ267:WLK267 WVF267:WVG267 IT271:IU271 SP271:SQ271 ACL271:ACM271 AMH271:AMI271 AWD271:AWE271 BFZ271:BGA271 BPV271:BPW271 BZR271:BZS271 CJN271:CJO271 CTJ271:CTK271 DDF271:DDG271 DNB271:DNC271 DWX271:DWY271 EGT271:EGU271 EQP271:EQQ271 FAL271:FAM271 FKH271:FKI271 FUD271:FUE271 GDZ271:GEA271 GNV271:GNW271 GXR271:GXS271 HHN271:HHO271 HRJ271:HRK271 IBF271:IBG271 ILB271:ILC271 IUX271:IUY271 JET271:JEU271 JOP271:JOQ271 JYL271:JYM271 KIH271:KII271 KSD271:KSE271 LBZ271:LCA271 LLV271:LLW271 LVR271:LVS271 MFN271:MFO271 MPJ271:MPK271 MZF271:MZG271 NJB271:NJC271 NSX271:NSY271 OCT271:OCU271 OMP271:OMQ271 OWL271:OWM271 PGH271:PGI271 PQD271:PQE271 PZZ271:QAA271 QJV271:QJW271 QTR271:QTS271 RDN271:RDO271 RNJ271:RNK271 RXF271:RXG271 SHB271:SHC271 SQX271:SQY271 TAT271:TAU271 TKP271:TKQ271 TUL271:TUM271 UEH271:UEI271 UOD271:UOE271 UXZ271:UYA271 VHV271:VHW271 VRR271:VRS271 WBN271:WBO271 WLJ271:WLK271 WVF271:WVG271 IT280:IU280 SP280:SQ280 ACL280:ACM280 AMH280:AMI280 AWD280:AWE280 BFZ280:BGA280 BPV280:BPW280 BZR280:BZS280 CJN280:CJO280 CTJ280:CTK280 DDF280:DDG280 DNB280:DNC280 DWX280:DWY280 EGT280:EGU280 EQP280:EQQ280 FAL280:FAM280 FKH280:FKI280 FUD280:FUE280 GDZ280:GEA280 GNV280:GNW280 GXR280:GXS280 HHN280:HHO280 HRJ280:HRK280 IBF280:IBG280 ILB280:ILC280 IUX280:IUY280 JET280:JEU280 JOP280:JOQ280 JYL280:JYM280 KIH280:KII280 KSD280:KSE280 LBZ280:LCA280 LLV280:LLW280 LVR280:LVS280 MFN280:MFO280 MPJ280:MPK280 MZF280:MZG280 NJB280:NJC280 NSX280:NSY280 OCT280:OCU280 OMP280:OMQ280 OWL280:OWM280 PGH280:PGI280 PQD280:PQE280 PZZ280:QAA280 QJV280:QJW280 QTR280:QTS280 RDN280:RDO280 RNJ280:RNK280 RXF280:RXG280 SHB280:SHC280 SQX280:SQY280 TAT280:TAU280 TKP280:TKQ280 TUL280:TUM280 UEH280:UEI280 UOD280:UOE280 UXZ280:UYA280 VHV280:VHW280 VRR280:VRS280 WBN280:WBO280 WLJ280:WLK280 WVF280:WVG280 IP192:IQ193 SL192:SM193 ACH192:ACI193 AMD192:AME193 AVZ192:AWA193 BFV192:BFW193 BPR192:BPS193 BZN192:BZO193 CJJ192:CJK193 CTF192:CTG193 DDB192:DDC193 DMX192:DMY193 DWT192:DWU193 EGP192:EGQ193 EQL192:EQM193 FAH192:FAI193 FKD192:FKE193 FTZ192:FUA193 GDV192:GDW193 GNR192:GNS193 GXN192:GXO193 HHJ192:HHK193 HRF192:HRG193 IBB192:IBC193 IKX192:IKY193 IUT192:IUU193 JEP192:JEQ193 JOL192:JOM193 JYH192:JYI193 KID192:KIE193 KRZ192:KSA193 LBV192:LBW193 LLR192:LLS193 LVN192:LVO193 MFJ192:MFK193 MPF192:MPG193 MZB192:MZC193 NIX192:NIY193 NST192:NSU193 OCP192:OCQ193 OML192:OMM193 OWH192:OWI193 PGD192:PGE193 PPZ192:PQA193 PZV192:PZW193 QJR192:QJS193 QTN192:QTO193 RDJ192:RDK193 RNF192:RNG193 RXB192:RXC193 SGX192:SGY193 SQT192:SQU193 TAP192:TAQ193 TKL192:TKM193 TUH192:TUI193 UED192:UEE193 UNZ192:UOA193 UXV192:UXW193 VHR192:VHS193 VRN192:VRO193 WBJ192:WBK193 WLF192:WLG193 WVB192:WVC193 IT248:IU250 SP248:SQ250 ACL248:ACM250 AMH248:AMI250 AWD248:AWE250 BFZ248:BGA250 BPV248:BPW250 BZR248:BZS250 CJN248:CJO250 CTJ248:CTK250 DDF248:DDG250 DNB248:DNC250 DWX248:DWY250 EGT248:EGU250 EQP248:EQQ250 FAL248:FAM250 FKH248:FKI250 FUD248:FUE250 GDZ248:GEA250 GNV248:GNW250 GXR248:GXS250 HHN248:HHO250 HRJ248:HRK250 IBF248:IBG250 ILB248:ILC250 IUX248:IUY250 JET248:JEU250 JOP248:JOQ250 JYL248:JYM250 KIH248:KII250 KSD248:KSE250 LBZ248:LCA250 LLV248:LLW250 LVR248:LVS250 MFN248:MFO250 MPJ248:MPK250 MZF248:MZG250 NJB248:NJC250 NSX248:NSY250 OCT248:OCU250 OMP248:OMQ250 OWL248:OWM250 PGH248:PGI250 PQD248:PQE250 PZZ248:QAA250 QJV248:QJW250 QTR248:QTS250 RDN248:RDO250 RNJ248:RNK250 RXF248:RXG250 SHB248:SHC250 SQX248:SQY250 TAT248:TAU250 TKP248:TKQ250 TUL248:TUM250 UEH248:UEI250 UOD248:UOE250 UXZ248:UYA250 VHV248:VHW250 VRR248:VRS250 WBN248:WBO250 WLJ248:WLK250 WVF248:WVG250 IS182:IT191 SO182:SP191 ACK182:ACL191 AMG182:AMH191 AWC182:AWD191 BFY182:BFZ191 BPU182:BPV191 BZQ182:BZR191 CJM182:CJN191 CTI182:CTJ191 DDE182:DDF191 DNA182:DNB191 DWW182:DWX191 EGS182:EGT191 EQO182:EQP191 FAK182:FAL191 FKG182:FKH191 FUC182:FUD191 GDY182:GDZ191 GNU182:GNV191 GXQ182:GXR191 HHM182:HHN191 HRI182:HRJ191 IBE182:IBF191 ILA182:ILB191 IUW182:IUX191 JES182:JET191 JOO182:JOP191 JYK182:JYL191 KIG182:KIH191 KSC182:KSD191 LBY182:LBZ191 LLU182:LLV191 LVQ182:LVR191 MFM182:MFN191 MPI182:MPJ191 MZE182:MZF191 NJA182:NJB191 NSW182:NSX191 OCS182:OCT191 OMO182:OMP191 OWK182:OWL191 PGG182:PGH191 PQC182:PQD191 PZY182:PZZ191 QJU182:QJV191 QTQ182:QTR191 RDM182:RDN191 RNI182:RNJ191 RXE182:RXF191 SHA182:SHB191 SQW182:SQX191 TAS182:TAT191 TKO182:TKP191 TUK182:TUL191 UEG182:UEH191 UOC182:UOD191 UXY182:UXZ191 VHU182:VHV191 VRQ182:VRR191 WBM182:WBN191 WLI182:WLJ191 WVE182:WVF191 IT195:IU197 SP195:SQ197 ACL195:ACM197 AMH195:AMI197 AWD195:AWE197 BFZ195:BGA197 BPV195:BPW197 BZR195:BZS197 CJN195:CJO197 CTJ195:CTK197 DDF195:DDG197 DNB195:DNC197 DWX195:DWY197 EGT195:EGU197 EQP195:EQQ197 FAL195:FAM197 FKH195:FKI197 FUD195:FUE197 GDZ195:GEA197 GNV195:GNW197 GXR195:GXS197 HHN195:HHO197 HRJ195:HRK197 IBF195:IBG197 ILB195:ILC197 IUX195:IUY197 JET195:JEU197 JOP195:JOQ197 JYL195:JYM197 KIH195:KII197 KSD195:KSE197 LBZ195:LCA197 LLV195:LLW197 LVR195:LVS197 MFN195:MFO197 MPJ195:MPK197 MZF195:MZG197 NJB195:NJC197 NSX195:NSY197 OCT195:OCU197 OMP195:OMQ197 OWL195:OWM197 PGH195:PGI197 PQD195:PQE197 PZZ195:QAA197 QJV195:QJW197 QTR195:QTS197 RDN195:RDO197 RNJ195:RNK197 RXF195:RXG197 SHB195:SHC197 SQX195:SQY197 TAT195:TAU197 TKP195:TKQ197 TUL195:TUM197 UEH195:UEI197 UOD195:UOE197 UXZ195:UYA197 VHV195:VHW197 VRR195:VRS197 WBN195:WBO197 WLJ195:WLK197 WVF195:WVG197 IT261:IU262 SP261:SQ262 ACL261:ACM262 AMH261:AMI262 AWD261:AWE262 BFZ261:BGA262 BPV261:BPW262 BZR261:BZS262 CJN261:CJO262 CTJ261:CTK262 DDF261:DDG262 DNB261:DNC262 DWX261:DWY262 EGT261:EGU262 EQP261:EQQ262 FAL261:FAM262 FKH261:FKI262 FUD261:FUE262 GDZ261:GEA262 GNV261:GNW262 GXR261:GXS262 HHN261:HHO262 HRJ261:HRK262 IBF261:IBG262 ILB261:ILC262 IUX261:IUY262 JET261:JEU262 JOP261:JOQ262 JYL261:JYM262 KIH261:KII262 KSD261:KSE262 LBZ261:LCA262 LLV261:LLW262 LVR261:LVS262 MFN261:MFO262 MPJ261:MPK262 MZF261:MZG262 NJB261:NJC262 NSX261:NSY262 OCT261:OCU262 OMP261:OMQ262 OWL261:OWM262 PGH261:PGI262 PQD261:PQE262 PZZ261:QAA262 QJV261:QJW262 QTR261:QTS262 RDN261:RDO262 RNJ261:RNK262 RXF261:RXG262 SHB261:SHC262 SQX261:SQY262 TAT261:TAU262 TKP261:TKQ262 TUL261:TUM262 UEH261:UEI262 UOD261:UOE262 UXZ261:UYA262 VHV261:VHW262 VRR261:VRS262 WBN261:WBO262 WLJ261:WLK262 WVF261:WVG262"/>
    <dataValidation type="list" allowBlank="1" showInputMessage="1" showErrorMessage="1" sqref="IX146 ST146 ACP146 AML146 AWH146 BGD146 BPZ146 BZV146 CJR146 CTN146 DDJ146 DNF146 DXB146 EGX146 EQT146 FAP146 FKL146 FUH146 GED146 GNZ146 GXV146 HHR146 HRN146 IBJ146 ILF146 IVB146 JEX146 JOT146 JYP146 KIL146 KSH146 LCD146 LLZ146 LVV146 MFR146 MPN146 MZJ146 NJF146 NTB146 OCX146 OMT146 OWP146 PGL146 PQH146 QAD146 QJZ146 QTV146 RDR146 RNN146 RXJ146 SHF146 SRB146 TAX146 TKT146 TUP146 UEL146 UOH146 UYD146 VHZ146 VRV146 WBR146 WLN146 WVJ146 IX180 ST180 ACP180 AML180 AWH180 BGD180 BPZ180 BZV180 CJR180 CTN180 DDJ180 DNF180 DXB180 EGX180 EQT180 FAP180 FKL180 FUH180 GED180 GNZ180 GXV180 HHR180 HRN180 IBJ180 ILF180 IVB180 JEX180 JOT180 JYP180 KIL180 KSH180 LCD180 LLZ180 LVV180 MFR180 MPN180 MZJ180 NJF180 NTB180 OCX180 OMT180 OWP180 PGL180 PQH180 QAD180 QJZ180 QTV180 RDR180 RNN180 RXJ180 SHF180 SRB180 TAX180 TKT180 TUP180 UEL180 UOH180 UYD180 VHZ180 VRV180 WBR180 WLN180 WVJ180 IY236 SU236 ACQ236 AMM236 AWI236 BGE236 BQA236 BZW236 CJS236 CTO236 DDK236 DNG236 DXC236 EGY236 EQU236 FAQ236 FKM236 FUI236 GEE236 GOA236 GXW236 HHS236 HRO236 IBK236 ILG236 IVC236 JEY236 JOU236 JYQ236 KIM236 KSI236 LCE236 LMA236 LVW236 MFS236 MPO236 MZK236 NJG236 NTC236 OCY236 OMU236 OWQ236 PGM236 PQI236 QAE236 QKA236 QTW236 RDS236 RNO236 RXK236 SHG236 SRC236 TAY236 TKU236 TUQ236 UEM236 UOI236 UYE236 VIA236 VRW236 WBS236 WLO236 WVK236 IY241 SU241 ACQ241 AMM241 AWI241 BGE241 BQA241 BZW241 CJS241 CTO241 DDK241 DNG241 DXC241 EGY241 EQU241 FAQ241 FKM241 FUI241 GEE241 GOA241 GXW241 HHS241 HRO241 IBK241 ILG241 IVC241 JEY241 JOU241 JYQ241 KIM241 KSI241 LCE241 LMA241 LVW241 MFS241 MPO241 MZK241 NJG241 NTC241 OCY241 OMU241 OWQ241 PGM241 PQI241 QAE241 QKA241 QTW241 RDS241 RNO241 RXK241 SHG241 SRC241 TAY241 TKU241 TUQ241 UEM241 UOI241 UYE241 VIA241 VRW241 WBS241 WLO241 WVK241 IY245 SU245 ACQ245 AMM245 AWI245 BGE245 BQA245 BZW245 CJS245 CTO245 DDK245 DNG245 DXC245 EGY245 EQU245 FAQ245 FKM245 FUI245 GEE245 GOA245 GXW245 HHS245 HRO245 IBK245 ILG245 IVC245 JEY245 JOU245 JYQ245 KIM245 KSI245 LCE245 LMA245 LVW245 MFS245 MPO245 MZK245 NJG245 NTC245 OCY245 OMU245 OWQ245 PGM245 PQI245 QAE245 QKA245 QTW245 RDS245 RNO245 RXK245 SHG245 SRC245 TAY245 TKU245 TUQ245 UEM245 UOI245 UYE245 VIA245 VRW245 WBS245 WLO245 WVK245 IY254 SU254 ACQ254 AMM254 AWI254 BGE254 BQA254 BZW254 CJS254 CTO254 DDK254 DNG254 DXC254 EGY254 EQU254 FAQ254 FKM254 FUI254 GEE254 GOA254 GXW254 HHS254 HRO254 IBK254 ILG254 IVC254 JEY254 JOU254 JYQ254 KIM254 KSI254 LCE254 LMA254 LVW254 MFS254 MPO254 MZK254 NJG254 NTC254 OCY254 OMU254 OWQ254 PGM254 PQI254 QAE254 QKA254 QTW254 RDS254 RNO254 RXK254 SHG254 SRC254 TAY254 TKU254 TUQ254 UEM254 UOI254 UYE254 VIA254 VRW254 WBS254 WLO254 WVK254 IY265 SU265 ACQ265 AMM265 AWI265 BGE265 BQA265 BZW265 CJS265 CTO265 DDK265 DNG265 DXC265 EGY265 EQU265 FAQ265 FKM265 FUI265 GEE265 GOA265 GXW265 HHS265 HRO265 IBK265 ILG265 IVC265 JEY265 JOU265 JYQ265 KIM265 KSI265 LCE265 LMA265 LVW265 MFS265 MPO265 MZK265 NJG265 NTC265 OCY265 OMU265 OWQ265 PGM265 PQI265 QAE265 QKA265 QTW265 RDS265 RNO265 RXK265 SHG265 SRC265 TAY265 TKU265 TUQ265 UEM265 UOI265 UYE265 VIA265 VRW265 WBS265 WLO265 WVK265 IY267 SU267 ACQ267 AMM267 AWI267 BGE267 BQA267 BZW267 CJS267 CTO267 DDK267 DNG267 DXC267 EGY267 EQU267 FAQ267 FKM267 FUI267 GEE267 GOA267 GXW267 HHS267 HRO267 IBK267 ILG267 IVC267 JEY267 JOU267 JYQ267 KIM267 KSI267 LCE267 LMA267 LVW267 MFS267 MPO267 MZK267 NJG267 NTC267 OCY267 OMU267 OWQ267 PGM267 PQI267 QAE267 QKA267 QTW267 RDS267 RNO267 RXK267 SHG267 SRC267 TAY267 TKU267 TUQ267 UEM267 UOI267 UYE267 VIA267 VRW267 WBS267 WLO267 WVK267 IY271 SU271 ACQ271 AMM271 AWI271 BGE271 BQA271 BZW271 CJS271 CTO271 DDK271 DNG271 DXC271 EGY271 EQU271 FAQ271 FKM271 FUI271 GEE271 GOA271 GXW271 HHS271 HRO271 IBK271 ILG271 IVC271 JEY271 JOU271 JYQ271 KIM271 KSI271 LCE271 LMA271 LVW271 MFS271 MPO271 MZK271 NJG271 NTC271 OCY271 OMU271 OWQ271 PGM271 PQI271 QAE271 QKA271 QTW271 RDS271 RNO271 RXK271 SHG271 SRC271 TAY271 TKU271 TUQ271 UEM271 UOI271 UYE271 VIA271 VRW271 WBS271 WLO271 WVK271 IY280 SU280 ACQ280 AMM280 AWI280 BGE280 BQA280 BZW280 CJS280 CTO280 DDK280 DNG280 DXC280 EGY280 EQU280 FAQ280 FKM280 FUI280 GEE280 GOA280 GXW280 HHS280 HRO280 IBK280 ILG280 IVC280 JEY280 JOU280 JYQ280 KIM280 KSI280 LCE280 LMA280 LVW280 MFS280 MPO280 MZK280 NJG280 NTC280 OCY280 OMU280 OWQ280 PGM280 PQI280 QAE280 QKA280 QTW280 RDS280 RNO280 RXK280 SHG280 SRC280 TAY280 TKU280 TUQ280 UEM280 UOI280 UYE280 VIA280 VRW280 WBS280 WLO280 WVK280 IU192:IU193 IX182:IX191 IY195:IY197 IY248:IY250 IY261:IY262 SQ192:SQ193 ST182:ST191 SU195:SU197 SU248:SU250 SU261:SU262 ACM192:ACM193 ACP182:ACP191 ACQ195:ACQ197 ACQ248:ACQ250 ACQ261:ACQ262 AMI192:AMI193 AML182:AML191 AMM195:AMM197 AMM248:AMM250 AMM261:AMM262 AWE192:AWE193 AWH182:AWH191 AWI195:AWI197 AWI248:AWI250 AWI261:AWI262 BGA192:BGA193 BGD182:BGD191 BGE195:BGE197 BGE248:BGE250 BGE261:BGE262 BPW192:BPW193 BPZ182:BPZ191 BQA195:BQA197 BQA248:BQA250 BQA261:BQA262 BZS192:BZS193 BZV182:BZV191 BZW195:BZW197 BZW248:BZW250 BZW261:BZW262 CJO192:CJO193 CJR182:CJR191 CJS195:CJS197 CJS248:CJS250 CJS261:CJS262 CTK192:CTK193 CTN182:CTN191 CTO195:CTO197 CTO248:CTO250 CTO261:CTO262 DDG192:DDG193 DDJ182:DDJ191 DDK195:DDK197 DDK248:DDK250 DDK261:DDK262 DNC192:DNC193 DNF182:DNF191 DNG195:DNG197 DNG248:DNG250 DNG261:DNG262 DWY192:DWY193 DXB182:DXB191 DXC195:DXC197 DXC248:DXC250 DXC261:DXC262 EGU192:EGU193 EGX182:EGX191 EGY195:EGY197 EGY248:EGY250 EGY261:EGY262 EQQ192:EQQ193 EQT182:EQT191 EQU195:EQU197 EQU248:EQU250 EQU261:EQU262 FAM192:FAM193 FAP182:FAP191 FAQ195:FAQ197 FAQ248:FAQ250 FAQ261:FAQ262 FKI192:FKI193 FKL182:FKL191 FKM195:FKM197 FKM248:FKM250 FKM261:FKM262 FUE192:FUE193 FUH182:FUH191 FUI195:FUI197 FUI248:FUI250 FUI261:FUI262 GEA192:GEA193 GED182:GED191 GEE195:GEE197 GEE248:GEE250 GEE261:GEE262 GNW192:GNW193 GNZ182:GNZ191 GOA195:GOA197 GOA248:GOA250 GOA261:GOA262 GXS192:GXS193 GXV182:GXV191 GXW195:GXW197 GXW248:GXW250 GXW261:GXW262 HHO192:HHO193 HHR182:HHR191 HHS195:HHS197 HHS248:HHS250 HHS261:HHS262 HRK192:HRK193 HRN182:HRN191 HRO195:HRO197 HRO248:HRO250 HRO261:HRO262 IBG192:IBG193 IBJ182:IBJ191 IBK195:IBK197 IBK248:IBK250 IBK261:IBK262 ILC192:ILC193 ILF182:ILF191 ILG195:ILG197 ILG248:ILG250 ILG261:ILG262 IUY192:IUY193 IVB182:IVB191 IVC195:IVC197 IVC248:IVC250 IVC261:IVC262 JEU192:JEU193 JEX182:JEX191 JEY195:JEY197 JEY248:JEY250 JEY261:JEY262 JOQ192:JOQ193 JOT182:JOT191 JOU195:JOU197 JOU248:JOU250 JOU261:JOU262 JYM192:JYM193 JYP182:JYP191 JYQ195:JYQ197 JYQ248:JYQ250 JYQ261:JYQ262 KII192:KII193 KIL182:KIL191 KIM195:KIM197 KIM248:KIM250 KIM261:KIM262 KSE192:KSE193 KSH182:KSH191 KSI195:KSI197 KSI248:KSI250 KSI261:KSI262 LCA192:LCA193 LCD182:LCD191 LCE195:LCE197 LCE248:LCE250 LCE261:LCE262 LLW192:LLW193 LLZ182:LLZ191 LMA195:LMA197 LMA248:LMA250 LMA261:LMA262 LVS192:LVS193 LVV182:LVV191 LVW195:LVW197 LVW248:LVW250 LVW261:LVW262 MFO192:MFO193 MFR182:MFR191 MFS195:MFS197 MFS248:MFS250 MFS261:MFS262 MPK192:MPK193 MPN182:MPN191 MPO195:MPO197 MPO248:MPO250 MPO261:MPO262 MZG192:MZG193 MZJ182:MZJ191 MZK195:MZK197 MZK248:MZK250 MZK261:MZK262 NJC192:NJC193 NJF182:NJF191 NJG195:NJG197 NJG248:NJG250 NJG261:NJG262 NSY192:NSY193 NTB182:NTB191 NTC195:NTC197 NTC248:NTC250 NTC261:NTC262 OCU192:OCU193 OCX182:OCX191 OCY195:OCY197 OCY248:OCY250 OCY261:OCY262 OMQ192:OMQ193 OMT182:OMT191 OMU195:OMU197 OMU248:OMU250 OMU261:OMU262 OWM192:OWM193 OWP182:OWP191 OWQ195:OWQ197 OWQ248:OWQ250 OWQ261:OWQ262 PGI192:PGI193 PGL182:PGL191 PGM195:PGM197 PGM248:PGM250 PGM261:PGM262 PQE192:PQE193 PQH182:PQH191 PQI195:PQI197 PQI248:PQI250 PQI261:PQI262 QAA192:QAA193 QAD182:QAD191 QAE195:QAE197 QAE248:QAE250 QAE261:QAE262 QJW192:QJW193 QJZ182:QJZ191 QKA195:QKA197 QKA248:QKA250 QKA261:QKA262 QTS192:QTS193 QTV182:QTV191 QTW195:QTW197 QTW248:QTW250 QTW261:QTW262 RDO192:RDO193 RDR182:RDR191 RDS195:RDS197 RDS248:RDS250 RDS261:RDS262 RNK192:RNK193 RNN182:RNN191 RNO195:RNO197 RNO248:RNO250 RNO261:RNO262 RXG192:RXG193 RXJ182:RXJ191 RXK195:RXK197 RXK248:RXK250 RXK261:RXK262 SHC192:SHC193 SHF182:SHF191 SHG195:SHG197 SHG248:SHG250 SHG261:SHG262 SQY192:SQY193 SRB182:SRB191 SRC195:SRC197 SRC248:SRC250 SRC261:SRC262 TAU192:TAU193 TAX182:TAX191 TAY195:TAY197 TAY248:TAY250 TAY261:TAY262 TKQ192:TKQ193 TKT182:TKT191 TKU195:TKU197 TKU248:TKU250 TKU261:TKU262 TUM192:TUM193 TUP182:TUP191 TUQ195:TUQ197 TUQ248:TUQ250 TUQ261:TUQ262 UEI192:UEI193 UEL182:UEL191 UEM195:UEM197 UEM248:UEM250 UEM261:UEM262 UOE192:UOE193 UOH182:UOH191 UOI195:UOI197 UOI248:UOI250 UOI261:UOI262 UYA192:UYA193 UYD182:UYD191 UYE195:UYE197 UYE248:UYE250 UYE261:UYE262 VHW192:VHW193 VHZ182:VHZ191 VIA195:VIA197 VIA248:VIA250 VIA261:VIA262 VRS192:VRS193 VRV182:VRV191 VRW195:VRW197 VRW248:VRW250 VRW261:VRW262 WBO192:WBO193 WBR182:WBR191 WBS195:WBS197 WBS248:WBS250 WBS261:WBS262 WLK192:WLK193 WLN182:WLN191 WLO195:WLO197 WLO248:WLO250 WLO261:WLO262 WVG192:WVG193 WVJ182:WVJ191 WVK195:WVK197 WVK248:WVK250 WVK261:WVK262">
      <formula1>"初中,中专,高中,大专,本科,硕士,博士"</formula1>
    </dataValidation>
    <dataValidation type="list" allowBlank="1" showInputMessage="1" showErrorMessage="1" sqref="D318">
      <formula1>"研究院,平台产品业务群组,云服务业务群组,智能物联业务群组,公共业务群组,市场部,运营部,财务部"</formula1>
    </dataValidation>
    <dataValidation type="list" allowBlank="1" showInputMessage="1" showErrorMessage="1" sqref="D364 D397">
      <formula1>"研究院,平台产品业务,云服务业务,智能物联业务,公共业务,市场部,运营部,财务部"</formula1>
    </dataValidation>
  </dataValidations>
  <pageMargins left="0.25" right="0.25" top="0.75" bottom="0.75" header="0.3" footer="0.3"/>
  <pageSetup paperSize="9"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AS303"/>
  <sheetViews>
    <sheetView workbookViewId="0">
      <pane xSplit="1" ySplit="2" topLeftCell="U296" activePane="bottomRight" state="frozen"/>
      <selection/>
      <selection pane="topRight"/>
      <selection pane="bottomLeft"/>
      <selection pane="bottomRight" activeCell="AB251" sqref="AB251"/>
    </sheetView>
  </sheetViews>
  <sheetFormatPr defaultColWidth="8.875" defaultRowHeight="18.75" customHeight="1"/>
  <cols>
    <col min="1" max="1" width="7" style="96" customWidth="1"/>
    <col min="2" max="2" width="6.875" style="97" customWidth="1"/>
    <col min="3" max="4" width="11.5" style="97" customWidth="1"/>
    <col min="5" max="5" width="16" style="97" customWidth="1"/>
    <col min="6" max="7" width="11.5" style="97" customWidth="1"/>
    <col min="8" max="8" width="11.375" style="97" customWidth="1"/>
    <col min="9" max="9" width="10" style="97" customWidth="1"/>
    <col min="10" max="10" width="11.5" style="97" customWidth="1"/>
    <col min="11" max="11" width="6.5" style="97" customWidth="1"/>
    <col min="12" max="12" width="10.5" style="97" customWidth="1"/>
    <col min="13" max="13" width="12.375" style="97" customWidth="1"/>
    <col min="14" max="14" width="17.875" style="97" customWidth="1"/>
    <col min="15" max="15" width="5" style="97" customWidth="1"/>
    <col min="16" max="16" width="11.625" style="97" customWidth="1"/>
    <col min="17" max="17" width="7" style="96" customWidth="1"/>
    <col min="18" max="18" width="6.375" style="97" customWidth="1"/>
    <col min="19" max="21" width="8.5" style="97" customWidth="1"/>
    <col min="22" max="22" width="15.5" style="97" customWidth="1"/>
    <col min="23" max="23" width="9.625" style="97" customWidth="1"/>
    <col min="24" max="24" width="8" style="97" customWidth="1"/>
    <col min="25" max="25" width="18.625" style="97" customWidth="1"/>
    <col min="26" max="26" width="20.375" style="97" customWidth="1"/>
    <col min="27" max="27" width="10.5" style="97" customWidth="1"/>
    <col min="28" max="29" width="11.125" style="96" customWidth="1"/>
    <col min="30" max="30" width="14.625" style="97" customWidth="1"/>
    <col min="31" max="31" width="18.5" style="97" customWidth="1"/>
    <col min="32" max="33" width="12.625" style="97" customWidth="1"/>
    <col min="34" max="34" width="16.125" style="96" customWidth="1"/>
    <col min="35" max="37" width="8.625" style="97" customWidth="1"/>
    <col min="38" max="38" width="11" style="97" customWidth="1"/>
    <col min="39" max="39" width="11" style="98" customWidth="1"/>
    <col min="40" max="40" width="9.125" style="96" customWidth="1"/>
    <col min="41" max="42" width="9.125" style="97" customWidth="1"/>
    <col min="43" max="43" width="12.125" style="97" customWidth="1"/>
  </cols>
  <sheetData>
    <row r="1" customHeight="1" spans="1:45">
      <c r="A1" s="99" t="s">
        <v>735</v>
      </c>
      <c r="B1" s="99"/>
      <c r="C1" s="99"/>
      <c r="D1" s="99"/>
      <c r="E1" s="99"/>
      <c r="F1" s="100"/>
      <c r="G1" s="100"/>
      <c r="H1" s="100"/>
      <c r="I1" s="100"/>
      <c r="J1" s="100"/>
      <c r="K1" s="100"/>
      <c r="L1" s="100"/>
      <c r="M1" s="100"/>
      <c r="N1" s="101" t="s">
        <v>736</v>
      </c>
      <c r="O1" s="101"/>
      <c r="P1" s="101"/>
      <c r="Q1" s="101"/>
      <c r="R1" s="101"/>
      <c r="S1" s="101"/>
      <c r="T1" s="101"/>
      <c r="U1" s="101"/>
      <c r="V1" s="101"/>
      <c r="W1" s="101"/>
      <c r="X1" s="101"/>
      <c r="Y1" s="101"/>
      <c r="Z1" s="101"/>
      <c r="AA1" s="101"/>
      <c r="AB1" s="102" t="s">
        <v>1</v>
      </c>
      <c r="AC1" s="102"/>
      <c r="AD1" s="102"/>
      <c r="AE1" s="102"/>
      <c r="AF1" s="102"/>
      <c r="AG1" s="102"/>
      <c r="AH1" s="102"/>
      <c r="AI1" s="103" t="s">
        <v>737</v>
      </c>
      <c r="AJ1" s="104"/>
      <c r="AK1" s="104"/>
      <c r="AL1" s="105" t="s">
        <v>738</v>
      </c>
      <c r="AM1" s="106"/>
      <c r="AN1" s="106"/>
      <c r="AO1" s="106"/>
      <c r="AP1" s="106"/>
      <c r="AQ1" s="107"/>
    </row>
    <row r="2" customHeight="1" spans="1:45">
      <c r="A2" s="108" t="s">
        <v>739</v>
      </c>
      <c r="B2" s="109" t="s">
        <v>740</v>
      </c>
      <c r="C2" s="109" t="s">
        <v>741</v>
      </c>
      <c r="D2" s="109" t="s">
        <v>742</v>
      </c>
      <c r="E2" s="109" t="s">
        <v>743</v>
      </c>
      <c r="F2" s="110" t="s">
        <v>3</v>
      </c>
      <c r="G2" s="110" t="s">
        <v>4</v>
      </c>
      <c r="H2" s="110" t="s">
        <v>5</v>
      </c>
      <c r="I2" s="110" t="s">
        <v>6</v>
      </c>
      <c r="J2" s="110" t="s">
        <v>744</v>
      </c>
      <c r="K2" s="110" t="s">
        <v>7</v>
      </c>
      <c r="L2" s="111" t="s">
        <v>745</v>
      </c>
      <c r="M2" s="110" t="s">
        <v>746</v>
      </c>
      <c r="N2" s="112" t="s">
        <v>747</v>
      </c>
      <c r="O2" s="112" t="s">
        <v>748</v>
      </c>
      <c r="P2" s="112" t="s">
        <v>749</v>
      </c>
      <c r="Q2" s="113" t="s">
        <v>750</v>
      </c>
      <c r="R2" s="112" t="s">
        <v>751</v>
      </c>
      <c r="S2" s="112" t="s">
        <v>752</v>
      </c>
      <c r="T2" s="114" t="s">
        <v>753</v>
      </c>
      <c r="U2" s="114" t="s">
        <v>754</v>
      </c>
      <c r="V2" s="115" t="s">
        <v>755</v>
      </c>
      <c r="W2" s="112" t="s">
        <v>756</v>
      </c>
      <c r="X2" s="112" t="s">
        <v>757</v>
      </c>
      <c r="Y2" s="112" t="s">
        <v>758</v>
      </c>
      <c r="Z2" s="112" t="s">
        <v>759</v>
      </c>
      <c r="AA2" s="112" t="s">
        <v>760</v>
      </c>
      <c r="AB2" s="116" t="s">
        <v>8</v>
      </c>
      <c r="AC2" s="116" t="s">
        <v>761</v>
      </c>
      <c r="AD2" s="102" t="s">
        <v>762</v>
      </c>
      <c r="AE2" s="102" t="s">
        <v>763</v>
      </c>
      <c r="AF2" s="102" t="s">
        <v>764</v>
      </c>
      <c r="AG2" s="102" t="s">
        <v>765</v>
      </c>
      <c r="AH2" s="116" t="s">
        <v>766</v>
      </c>
      <c r="AI2" s="117" t="s">
        <v>767</v>
      </c>
      <c r="AJ2" s="117" t="s">
        <v>768</v>
      </c>
      <c r="AK2" s="117" t="s">
        <v>769</v>
      </c>
      <c r="AL2" s="118" t="s">
        <v>9</v>
      </c>
      <c r="AM2" s="119" t="s">
        <v>10</v>
      </c>
      <c r="AN2" s="120" t="s">
        <v>11</v>
      </c>
      <c r="AO2" s="118" t="s">
        <v>12</v>
      </c>
      <c r="AP2" s="118" t="s">
        <v>13</v>
      </c>
      <c r="AQ2" s="121" t="s">
        <v>770</v>
      </c>
    </row>
    <row r="3" s="85" customFormat="1" customHeight="1" spans="1:45">
      <c r="A3" s="122">
        <v>1</v>
      </c>
      <c r="B3" s="123">
        <v>2014</v>
      </c>
      <c r="C3" s="124"/>
      <c r="D3" s="125"/>
      <c r="E3" s="125"/>
      <c r="F3" s="123" t="s">
        <v>771</v>
      </c>
      <c r="G3" s="125"/>
      <c r="H3" s="123"/>
      <c r="I3" s="123"/>
      <c r="J3" s="123"/>
      <c r="K3" s="125"/>
      <c r="L3" s="126">
        <v>41275</v>
      </c>
      <c r="M3" s="125"/>
      <c r="N3" s="127"/>
      <c r="O3" s="125"/>
      <c r="P3" s="128"/>
      <c r="Q3" s="129"/>
      <c r="R3" s="130"/>
      <c r="S3" s="123"/>
      <c r="T3" s="123"/>
      <c r="U3" s="125"/>
      <c r="V3" s="125"/>
      <c r="W3" s="123"/>
      <c r="X3" s="123"/>
      <c r="Y3" s="123"/>
      <c r="Z3" s="123"/>
      <c r="AA3" s="131"/>
      <c r="AB3" s="132">
        <v>18810305921</v>
      </c>
      <c r="AC3" s="132"/>
      <c r="AD3" s="133" t="s">
        <v>772</v>
      </c>
      <c r="AE3" s="133"/>
      <c r="AF3" s="133"/>
      <c r="AG3" s="133"/>
      <c r="AH3" s="134"/>
      <c r="AI3" s="133"/>
      <c r="AJ3" s="133"/>
      <c r="AK3" s="133"/>
      <c r="AL3" s="128"/>
      <c r="AM3" s="128"/>
      <c r="AN3" s="135"/>
      <c r="AO3" s="136"/>
      <c r="AP3" s="125"/>
      <c r="AQ3" s="123"/>
      <c r="AR3" s="87"/>
      <c r="AS3" s="87"/>
    </row>
    <row r="4" s="85" customFormat="1" customHeight="1" spans="1:45">
      <c r="A4" s="122">
        <v>2</v>
      </c>
      <c r="B4" s="137">
        <v>2014</v>
      </c>
      <c r="C4" s="138"/>
      <c r="D4" s="139"/>
      <c r="E4" s="139"/>
      <c r="F4" s="137" t="s">
        <v>773</v>
      </c>
      <c r="G4" s="139"/>
      <c r="H4" s="137"/>
      <c r="I4" s="137"/>
      <c r="J4" s="137"/>
      <c r="K4" s="139"/>
      <c r="L4" s="140">
        <v>41275</v>
      </c>
      <c r="M4" s="139"/>
      <c r="N4" s="141"/>
      <c r="O4" s="139"/>
      <c r="P4" s="142"/>
      <c r="Q4" s="143"/>
      <c r="R4" s="144"/>
      <c r="S4" s="137"/>
      <c r="T4" s="137"/>
      <c r="U4" s="139"/>
      <c r="V4" s="139"/>
      <c r="W4" s="137"/>
      <c r="X4" s="137"/>
      <c r="Y4" s="137"/>
      <c r="Z4" s="137"/>
      <c r="AA4" s="145"/>
      <c r="AB4" s="122">
        <v>18009222640</v>
      </c>
      <c r="AC4" s="122"/>
      <c r="AD4" s="146" t="s">
        <v>774</v>
      </c>
      <c r="AE4" s="146"/>
      <c r="AF4" s="146"/>
      <c r="AG4" s="146"/>
      <c r="AH4" s="147"/>
      <c r="AI4" s="146" t="s">
        <v>775</v>
      </c>
      <c r="AJ4" s="146"/>
      <c r="AK4" s="146"/>
      <c r="AL4" s="142"/>
      <c r="AM4" s="142"/>
      <c r="AN4" s="148"/>
      <c r="AO4" s="149"/>
      <c r="AP4" s="139"/>
      <c r="AQ4" s="137"/>
    </row>
    <row r="5" s="85" customFormat="1" customHeight="1" spans="1:45">
      <c r="A5" s="122">
        <v>3</v>
      </c>
      <c r="B5" s="137">
        <v>2014</v>
      </c>
      <c r="C5" s="138"/>
      <c r="D5" s="139"/>
      <c r="E5" s="139"/>
      <c r="F5" s="141" t="s">
        <v>776</v>
      </c>
      <c r="G5" s="139"/>
      <c r="H5" s="139" t="s">
        <v>777</v>
      </c>
      <c r="I5" s="139" t="s">
        <v>778</v>
      </c>
      <c r="J5" s="139" t="s">
        <v>779</v>
      </c>
      <c r="K5" s="139"/>
      <c r="L5" s="150">
        <v>41491</v>
      </c>
      <c r="M5" s="139" t="s">
        <v>780</v>
      </c>
      <c r="N5" s="141" t="s">
        <v>781</v>
      </c>
      <c r="O5" s="139" t="s">
        <v>782</v>
      </c>
      <c r="P5" s="142" t="s">
        <v>783</v>
      </c>
      <c r="Q5" s="143">
        <v>27</v>
      </c>
      <c r="R5" s="151" t="s">
        <v>784</v>
      </c>
      <c r="S5" s="139" t="s">
        <v>785</v>
      </c>
      <c r="T5" s="139"/>
      <c r="U5" s="139"/>
      <c r="V5" s="139"/>
      <c r="W5" s="139" t="s">
        <v>786</v>
      </c>
      <c r="X5" s="139"/>
      <c r="Y5" s="139" t="s">
        <v>787</v>
      </c>
      <c r="Z5" s="139" t="s">
        <v>788</v>
      </c>
      <c r="AA5" s="152" t="s">
        <v>789</v>
      </c>
      <c r="AB5" s="143">
        <v>18600613943</v>
      </c>
      <c r="AC5" s="143"/>
      <c r="AD5" s="149" t="s">
        <v>790</v>
      </c>
      <c r="AE5" s="149"/>
      <c r="AF5" s="149"/>
      <c r="AG5" s="149"/>
      <c r="AH5" s="153"/>
      <c r="AI5" s="149" t="s">
        <v>791</v>
      </c>
      <c r="AJ5" s="149"/>
      <c r="AK5" s="149"/>
      <c r="AL5" s="142"/>
      <c r="AM5" s="142"/>
      <c r="AN5" s="148"/>
      <c r="AO5" s="149"/>
      <c r="AP5" s="139"/>
      <c r="AQ5" s="137"/>
    </row>
    <row r="6" s="86" customFormat="1" customHeight="1" spans="1:45">
      <c r="A6" s="122">
        <v>4</v>
      </c>
      <c r="B6" s="137">
        <v>2014</v>
      </c>
      <c r="C6" s="138"/>
      <c r="D6" s="139"/>
      <c r="E6" s="139"/>
      <c r="F6" s="141" t="s">
        <v>792</v>
      </c>
      <c r="G6" s="139"/>
      <c r="H6" s="139" t="s">
        <v>777</v>
      </c>
      <c r="I6" s="139" t="s">
        <v>778</v>
      </c>
      <c r="J6" s="139" t="s">
        <v>779</v>
      </c>
      <c r="K6" s="139"/>
      <c r="L6" s="150">
        <v>41556</v>
      </c>
      <c r="M6" s="139" t="s">
        <v>780</v>
      </c>
      <c r="N6" s="141" t="s">
        <v>793</v>
      </c>
      <c r="O6" s="139" t="s">
        <v>794</v>
      </c>
      <c r="P6" s="142" t="s">
        <v>795</v>
      </c>
      <c r="Q6" s="143">
        <v>25</v>
      </c>
      <c r="R6" s="151" t="s">
        <v>784</v>
      </c>
      <c r="S6" s="139" t="s">
        <v>785</v>
      </c>
      <c r="T6" s="139"/>
      <c r="U6" s="139"/>
      <c r="V6" s="139"/>
      <c r="W6" s="139" t="s">
        <v>786</v>
      </c>
      <c r="X6" s="139"/>
      <c r="Y6" s="139" t="s">
        <v>796</v>
      </c>
      <c r="Z6" s="139" t="s">
        <v>797</v>
      </c>
      <c r="AA6" s="152" t="s">
        <v>798</v>
      </c>
      <c r="AB6" s="153">
        <v>15094057403</v>
      </c>
      <c r="AC6" s="153"/>
      <c r="AD6" s="149" t="s">
        <v>799</v>
      </c>
      <c r="AE6" s="149"/>
      <c r="AF6" s="149"/>
      <c r="AG6" s="149"/>
      <c r="AH6" s="153"/>
      <c r="AI6" s="149" t="s">
        <v>791</v>
      </c>
      <c r="AJ6" s="149"/>
      <c r="AK6" s="149"/>
      <c r="AL6" s="142"/>
      <c r="AM6" s="142"/>
      <c r="AN6" s="148"/>
      <c r="AO6" s="149"/>
      <c r="AP6" s="139"/>
      <c r="AQ6" s="137"/>
      <c r="AR6" s="85"/>
      <c r="AS6" s="85"/>
    </row>
    <row r="7" s="85" customFormat="1" customHeight="1" spans="1:45">
      <c r="A7" s="122">
        <v>5</v>
      </c>
      <c r="B7" s="123">
        <v>2014</v>
      </c>
      <c r="C7" s="124"/>
      <c r="D7" s="125"/>
      <c r="E7" s="125"/>
      <c r="F7" s="127" t="s">
        <v>800</v>
      </c>
      <c r="G7" s="125"/>
      <c r="H7" s="125" t="s">
        <v>801</v>
      </c>
      <c r="I7" s="125" t="s">
        <v>802</v>
      </c>
      <c r="J7" s="123" t="s">
        <v>803</v>
      </c>
      <c r="K7" s="125"/>
      <c r="L7" s="154">
        <v>41710</v>
      </c>
      <c r="M7" s="125" t="str">
        <f ca="1">IF(L7="","",DATEDIF(L7,NOW(),"Y")&amp;"年"&amp;MOD(DATEDIF(L7,NOW(),"M"),12)&amp;"个月")</f>
        <v>11年10个月</v>
      </c>
      <c r="N7" s="127" t="s">
        <v>804</v>
      </c>
      <c r="O7" s="125" t="s">
        <v>782</v>
      </c>
      <c r="P7" s="128" t="s">
        <v>805</v>
      </c>
      <c r="Q7" s="129">
        <v>22</v>
      </c>
      <c r="R7" s="155"/>
      <c r="S7" s="125"/>
      <c r="T7" s="125"/>
      <c r="U7" s="125"/>
      <c r="V7" s="125"/>
      <c r="W7" s="125"/>
      <c r="X7" s="125"/>
      <c r="Y7" s="125" t="s">
        <v>806</v>
      </c>
      <c r="Z7" s="125" t="s">
        <v>807</v>
      </c>
      <c r="AA7" s="156" t="s">
        <v>808</v>
      </c>
      <c r="AB7" s="129">
        <v>18810305395</v>
      </c>
      <c r="AC7" s="129"/>
      <c r="AD7" s="136" t="s">
        <v>809</v>
      </c>
      <c r="AE7" s="136" t="s">
        <v>810</v>
      </c>
      <c r="AF7" s="136" t="s">
        <v>811</v>
      </c>
      <c r="AG7" s="136"/>
      <c r="AH7" s="157">
        <v>18606757712</v>
      </c>
      <c r="AI7" s="136"/>
      <c r="AJ7" s="136"/>
      <c r="AK7" s="136"/>
      <c r="AL7" s="128"/>
      <c r="AM7" s="128"/>
      <c r="AN7" s="129"/>
      <c r="AO7" s="136"/>
      <c r="AP7" s="125"/>
      <c r="AQ7" s="123"/>
      <c r="AR7" s="87"/>
      <c r="AS7" s="87"/>
    </row>
    <row r="8" s="87" customFormat="1" customHeight="1" spans="1:45">
      <c r="A8" s="122">
        <v>6</v>
      </c>
      <c r="B8" s="158">
        <v>2014</v>
      </c>
      <c r="C8" s="159"/>
      <c r="D8" s="160"/>
      <c r="E8" s="160"/>
      <c r="F8" s="161" t="s">
        <v>812</v>
      </c>
      <c r="G8" s="160"/>
      <c r="H8" s="160" t="s">
        <v>813</v>
      </c>
      <c r="I8" s="160" t="s">
        <v>814</v>
      </c>
      <c r="J8" s="158" t="s">
        <v>803</v>
      </c>
      <c r="K8" s="160"/>
      <c r="L8" s="162">
        <v>41750</v>
      </c>
      <c r="M8" s="160" t="str">
        <f ca="1">IF(L8="","",DATEDIF(L8,NOW(),"Y")&amp;"年"&amp;MOD(DATEDIF(L8,NOW(),"M"),12)&amp;"个月")</f>
        <v>11年9个月</v>
      </c>
      <c r="N8" s="161" t="s">
        <v>815</v>
      </c>
      <c r="O8" s="160" t="s">
        <v>782</v>
      </c>
      <c r="P8" s="163" t="s">
        <v>816</v>
      </c>
      <c r="Q8" s="164">
        <v>27</v>
      </c>
      <c r="R8" s="165"/>
      <c r="S8" s="160"/>
      <c r="T8" s="160"/>
      <c r="U8" s="160"/>
      <c r="V8" s="160"/>
      <c r="W8" s="160"/>
      <c r="X8" s="160"/>
      <c r="Y8" s="160"/>
      <c r="Z8" s="160"/>
      <c r="AA8" s="166"/>
      <c r="AB8" s="164">
        <v>13699158442</v>
      </c>
      <c r="AC8" s="164"/>
      <c r="AD8" s="167" t="s">
        <v>817</v>
      </c>
      <c r="AE8" s="167" t="s">
        <v>818</v>
      </c>
      <c r="AF8" s="167"/>
      <c r="AG8" s="167"/>
      <c r="AH8" s="168"/>
      <c r="AI8" s="167"/>
      <c r="AJ8" s="167"/>
      <c r="AK8" s="167"/>
      <c r="AL8" s="163"/>
      <c r="AM8" s="163"/>
      <c r="AN8" s="164"/>
      <c r="AO8" s="167"/>
      <c r="AP8" s="160"/>
      <c r="AQ8" s="158"/>
      <c r="AR8" s="86"/>
      <c r="AS8" s="86"/>
    </row>
    <row r="9" s="87" customFormat="1" customHeight="1" spans="1:45">
      <c r="A9" s="122">
        <v>7</v>
      </c>
      <c r="B9" s="123">
        <v>2014</v>
      </c>
      <c r="C9" s="124"/>
      <c r="D9" s="125"/>
      <c r="E9" s="125"/>
      <c r="F9" s="127" t="s">
        <v>819</v>
      </c>
      <c r="G9" s="125"/>
      <c r="H9" s="125" t="s">
        <v>801</v>
      </c>
      <c r="I9" s="125" t="s">
        <v>27</v>
      </c>
      <c r="J9" s="123" t="s">
        <v>803</v>
      </c>
      <c r="K9" s="125"/>
      <c r="L9" s="126">
        <v>41808</v>
      </c>
      <c r="M9" s="125" t="s">
        <v>820</v>
      </c>
      <c r="N9" s="127" t="s">
        <v>821</v>
      </c>
      <c r="O9" s="125" t="s">
        <v>782</v>
      </c>
      <c r="P9" s="128">
        <v>33626</v>
      </c>
      <c r="Q9" s="129">
        <v>23</v>
      </c>
      <c r="R9" s="155"/>
      <c r="S9" s="125"/>
      <c r="T9" s="125"/>
      <c r="U9" s="125"/>
      <c r="V9" s="125"/>
      <c r="W9" s="125"/>
      <c r="X9" s="125" t="s">
        <v>822</v>
      </c>
      <c r="Y9" s="125" t="s">
        <v>823</v>
      </c>
      <c r="Z9" s="125" t="s">
        <v>824</v>
      </c>
      <c r="AA9" s="156"/>
      <c r="AB9" s="129">
        <v>18317011570</v>
      </c>
      <c r="AC9" s="129"/>
      <c r="AD9" s="136"/>
      <c r="AE9" s="136" t="s">
        <v>825</v>
      </c>
      <c r="AF9" s="136" t="s">
        <v>826</v>
      </c>
      <c r="AG9" s="136"/>
      <c r="AH9" s="157">
        <v>13375160088</v>
      </c>
      <c r="AI9" s="136" t="s">
        <v>775</v>
      </c>
      <c r="AJ9" s="136"/>
      <c r="AK9" s="136"/>
      <c r="AL9" s="128"/>
      <c r="AM9" s="128"/>
      <c r="AN9" s="129"/>
      <c r="AO9" s="136"/>
      <c r="AP9" s="125"/>
      <c r="AQ9" s="126"/>
    </row>
    <row r="10" s="86" customFormat="1" customHeight="1" spans="1:45">
      <c r="A10" s="122">
        <v>8</v>
      </c>
      <c r="B10" s="137">
        <v>2014</v>
      </c>
      <c r="C10" s="169"/>
      <c r="D10" s="139"/>
      <c r="E10" s="139"/>
      <c r="F10" s="141" t="s">
        <v>827</v>
      </c>
      <c r="G10" s="139"/>
      <c r="H10" s="139" t="s">
        <v>828</v>
      </c>
      <c r="I10" s="139" t="s">
        <v>829</v>
      </c>
      <c r="J10" s="152" t="s">
        <v>803</v>
      </c>
      <c r="K10" s="139"/>
      <c r="L10" s="150">
        <v>41852</v>
      </c>
      <c r="M10" s="139" t="str">
        <f ca="1">IF(L10="","",DATEDIF(L10,NOW(),"Y")&amp;"年"&amp;MOD(DATEDIF(L10,NOW(),"M"),12)&amp;"个月")</f>
        <v>11年5个月</v>
      </c>
      <c r="N10" s="141" t="s">
        <v>830</v>
      </c>
      <c r="O10" s="139" t="s">
        <v>794</v>
      </c>
      <c r="P10" s="142" t="s">
        <v>831</v>
      </c>
      <c r="Q10" s="143">
        <v>23</v>
      </c>
      <c r="R10" s="151"/>
      <c r="S10" s="139"/>
      <c r="T10" s="139"/>
      <c r="U10" s="139"/>
      <c r="V10" s="139"/>
      <c r="W10" s="139" t="s">
        <v>832</v>
      </c>
      <c r="X10" s="139"/>
      <c r="Y10" s="139"/>
      <c r="Z10" s="139"/>
      <c r="AA10" s="152"/>
      <c r="AB10" s="143">
        <v>15600531551</v>
      </c>
      <c r="AC10" s="143"/>
      <c r="AD10" s="149" t="s">
        <v>833</v>
      </c>
      <c r="AE10" s="149"/>
      <c r="AF10" s="149"/>
      <c r="AG10" s="149"/>
      <c r="AH10" s="153"/>
      <c r="AI10" s="149" t="s">
        <v>775</v>
      </c>
      <c r="AJ10" s="149"/>
      <c r="AK10" s="149"/>
      <c r="AL10" s="142"/>
      <c r="AM10" s="142"/>
      <c r="AN10" s="143"/>
      <c r="AO10" s="149"/>
      <c r="AP10" s="139"/>
      <c r="AQ10" s="137"/>
      <c r="AR10" s="85"/>
      <c r="AS10" s="85"/>
    </row>
    <row r="11" s="87" customFormat="1" customHeight="1" spans="1:45">
      <c r="A11" s="122">
        <v>9</v>
      </c>
      <c r="B11" s="137">
        <v>2014</v>
      </c>
      <c r="C11" s="138"/>
      <c r="D11" s="139"/>
      <c r="E11" s="139"/>
      <c r="F11" s="141" t="s">
        <v>834</v>
      </c>
      <c r="G11" s="139"/>
      <c r="H11" s="139" t="s">
        <v>828</v>
      </c>
      <c r="I11" s="139" t="s">
        <v>829</v>
      </c>
      <c r="J11" s="152" t="s">
        <v>803</v>
      </c>
      <c r="K11" s="139"/>
      <c r="L11" s="150">
        <v>41852</v>
      </c>
      <c r="M11" s="139" t="str">
        <f ca="1">IF(L11="","",DATEDIF(L11,NOW(),"Y")&amp;"年"&amp;MOD(DATEDIF(L11,NOW(),"M"),12)&amp;"个月")</f>
        <v>11年5个月</v>
      </c>
      <c r="N11" s="141" t="s">
        <v>835</v>
      </c>
      <c r="O11" s="139" t="s">
        <v>794</v>
      </c>
      <c r="P11" s="142" t="s">
        <v>836</v>
      </c>
      <c r="Q11" s="143">
        <v>22</v>
      </c>
      <c r="R11" s="151"/>
      <c r="S11" s="139"/>
      <c r="T11" s="139"/>
      <c r="U11" s="139"/>
      <c r="V11" s="139"/>
      <c r="W11" s="139" t="s">
        <v>832</v>
      </c>
      <c r="X11" s="139"/>
      <c r="Y11" s="139"/>
      <c r="Z11" s="139"/>
      <c r="AA11" s="152"/>
      <c r="AB11" s="143">
        <v>18001305467</v>
      </c>
      <c r="AC11" s="143"/>
      <c r="AD11" s="149" t="s">
        <v>837</v>
      </c>
      <c r="AE11" s="149"/>
      <c r="AF11" s="149"/>
      <c r="AG11" s="149"/>
      <c r="AH11" s="153"/>
      <c r="AI11" s="149" t="s">
        <v>791</v>
      </c>
      <c r="AJ11" s="149"/>
      <c r="AK11" s="149"/>
      <c r="AL11" s="142"/>
      <c r="AM11" s="142"/>
      <c r="AN11" s="143"/>
      <c r="AO11" s="149"/>
      <c r="AP11" s="139"/>
      <c r="AQ11" s="137"/>
      <c r="AR11" s="85"/>
      <c r="AS11" s="94"/>
    </row>
    <row r="12" s="85" customFormat="1" customHeight="1" spans="1:45">
      <c r="A12" s="122">
        <v>10</v>
      </c>
      <c r="B12" s="137">
        <v>2014</v>
      </c>
      <c r="C12" s="138"/>
      <c r="D12" s="139"/>
      <c r="E12" s="139"/>
      <c r="F12" s="141" t="s">
        <v>838</v>
      </c>
      <c r="G12" s="139"/>
      <c r="H12" s="139" t="s">
        <v>828</v>
      </c>
      <c r="I12" s="139" t="s">
        <v>829</v>
      </c>
      <c r="J12" s="152" t="s">
        <v>803</v>
      </c>
      <c r="K12" s="139"/>
      <c r="L12" s="150">
        <v>41867</v>
      </c>
      <c r="M12" s="139" t="str">
        <f ca="1">IF(L12="","",DATEDIF(L12,NOW(),"Y")&amp;"年"&amp;MOD(DATEDIF(L12,NOW(),"M"),12)&amp;"个月")</f>
        <v>11年5个月</v>
      </c>
      <c r="N12" s="141" t="s">
        <v>839</v>
      </c>
      <c r="O12" s="139" t="s">
        <v>794</v>
      </c>
      <c r="P12" s="142" t="s">
        <v>840</v>
      </c>
      <c r="Q12" s="143">
        <v>24</v>
      </c>
      <c r="R12" s="151"/>
      <c r="S12" s="139"/>
      <c r="T12" s="139"/>
      <c r="U12" s="139"/>
      <c r="V12" s="139"/>
      <c r="W12" s="139" t="s">
        <v>832</v>
      </c>
      <c r="X12" s="139"/>
      <c r="Y12" s="139"/>
      <c r="Z12" s="139"/>
      <c r="AA12" s="152"/>
      <c r="AB12" s="143">
        <v>15810420104</v>
      </c>
      <c r="AC12" s="143"/>
      <c r="AD12" s="149" t="s">
        <v>841</v>
      </c>
      <c r="AE12" s="149"/>
      <c r="AF12" s="149"/>
      <c r="AG12" s="149"/>
      <c r="AH12" s="153"/>
      <c r="AI12" s="149"/>
      <c r="AJ12" s="149"/>
      <c r="AK12" s="149"/>
      <c r="AL12" s="142"/>
      <c r="AM12" s="142"/>
      <c r="AN12" s="143"/>
      <c r="AO12" s="149"/>
      <c r="AP12" s="139"/>
      <c r="AQ12" s="137"/>
    </row>
    <row r="13" s="85" customFormat="1" customHeight="1" spans="1:45">
      <c r="A13" s="122">
        <v>11</v>
      </c>
      <c r="B13" s="158">
        <v>2014</v>
      </c>
      <c r="C13" s="159"/>
      <c r="D13" s="160"/>
      <c r="E13" s="160"/>
      <c r="F13" s="158" t="s">
        <v>842</v>
      </c>
      <c r="G13" s="160"/>
      <c r="H13" s="160" t="s">
        <v>843</v>
      </c>
      <c r="I13" s="160" t="s">
        <v>27</v>
      </c>
      <c r="J13" s="158" t="s">
        <v>803</v>
      </c>
      <c r="K13" s="160"/>
      <c r="L13" s="170">
        <v>41998</v>
      </c>
      <c r="M13" s="160" t="str">
        <f ca="1">IF(L13="","",DATEDIF(L13,NOW(),"Y")&amp;"年"&amp;MOD(DATEDIF(L13,NOW(),"M"),12)&amp;"个月")</f>
        <v>11年1个月</v>
      </c>
      <c r="N13" s="161" t="s">
        <v>844</v>
      </c>
      <c r="O13" s="160" t="str">
        <f>IF(N13="","",IF(AND(LEN(N13)&lt;&gt;15,LEN(N13)&lt;&gt;18),"错误",IF(MOD(IF(LEN(N13)=15,MID(N13,15,1),MID(N13,17,1)),2)=1,"男","女")))</f>
        <v>男</v>
      </c>
      <c r="P13" s="163">
        <f>IF(N13="","",IF(AND(LEN(N13)&lt;&gt;15,LEN(N13)&lt;&gt;18),"错误",IF(LEN(N13)=15,DATE(MID(N13,7,2),MID(N13,9,2),MID(N13,11,2)),DATE(MID(N13,7,4),MID(N13,11,2),MID(N13,13,2)))))</f>
        <v>32698</v>
      </c>
      <c r="Q13" s="164">
        <f ca="1">IF(N13="","",IF(AND(LEN(N13)&lt;&gt;15,LEN(N13)&lt;&gt;18),"错误",ROUNDDOWN((NOW()-P13)/365,0)))</f>
        <v>36</v>
      </c>
      <c r="R13" s="165"/>
      <c r="S13" s="160"/>
      <c r="T13" s="160"/>
      <c r="U13" s="160"/>
      <c r="V13" s="160"/>
      <c r="W13" s="160"/>
      <c r="X13" s="160" t="s">
        <v>845</v>
      </c>
      <c r="Y13" s="160" t="s">
        <v>846</v>
      </c>
      <c r="Z13" s="160" t="s">
        <v>847</v>
      </c>
      <c r="AA13" s="166"/>
      <c r="AB13" s="171">
        <v>13488767904</v>
      </c>
      <c r="AC13" s="171"/>
      <c r="AD13" s="172" t="s">
        <v>848</v>
      </c>
      <c r="AE13" s="167" t="s">
        <v>849</v>
      </c>
      <c r="AF13" s="167" t="s">
        <v>850</v>
      </c>
      <c r="AG13" s="167"/>
      <c r="AH13" s="168"/>
      <c r="AI13" s="167"/>
      <c r="AJ13" s="167"/>
      <c r="AK13" s="167"/>
      <c r="AL13" s="163"/>
      <c r="AM13" s="163"/>
      <c r="AN13" s="164"/>
      <c r="AO13" s="167"/>
      <c r="AP13" s="160"/>
      <c r="AQ13" s="170"/>
      <c r="AR13" s="86"/>
      <c r="AS13" s="86"/>
    </row>
    <row r="14" s="85" customFormat="1" customHeight="1" spans="1:45">
      <c r="A14" s="122">
        <v>12</v>
      </c>
      <c r="B14" s="137">
        <v>2014</v>
      </c>
      <c r="C14" s="138"/>
      <c r="D14" s="139"/>
      <c r="E14" s="139"/>
      <c r="F14" s="137" t="s">
        <v>851</v>
      </c>
      <c r="G14" s="139"/>
      <c r="H14" s="137"/>
      <c r="I14" s="137"/>
      <c r="J14" s="137"/>
      <c r="K14" s="139"/>
      <c r="L14" s="140"/>
      <c r="M14" s="139"/>
      <c r="N14" s="141"/>
      <c r="O14" s="139"/>
      <c r="P14" s="142"/>
      <c r="Q14" s="143"/>
      <c r="R14" s="144"/>
      <c r="S14" s="137"/>
      <c r="T14" s="137"/>
      <c r="U14" s="139"/>
      <c r="V14" s="139"/>
      <c r="W14" s="137"/>
      <c r="X14" s="137"/>
      <c r="Y14" s="137"/>
      <c r="Z14" s="137"/>
      <c r="AA14" s="145"/>
      <c r="AB14" s="122"/>
      <c r="AC14" s="122"/>
      <c r="AD14" s="146"/>
      <c r="AE14" s="146"/>
      <c r="AF14" s="146"/>
      <c r="AG14" s="146"/>
      <c r="AH14" s="147"/>
      <c r="AI14" s="146" t="s">
        <v>775</v>
      </c>
      <c r="AJ14" s="146"/>
      <c r="AK14" s="146"/>
      <c r="AL14" s="142"/>
      <c r="AM14" s="142"/>
      <c r="AN14" s="148"/>
      <c r="AO14" s="149"/>
      <c r="AP14" s="139"/>
      <c r="AQ14" s="137"/>
    </row>
    <row r="15" s="85" customFormat="1" customHeight="1" spans="1:45">
      <c r="A15" s="122">
        <v>13</v>
      </c>
      <c r="B15" s="140">
        <v>41698</v>
      </c>
      <c r="C15" s="138"/>
      <c r="D15" s="139"/>
      <c r="E15" s="139"/>
      <c r="F15" s="141" t="s">
        <v>852</v>
      </c>
      <c r="G15" s="139"/>
      <c r="H15" s="139" t="s">
        <v>853</v>
      </c>
      <c r="I15" s="139" t="s">
        <v>854</v>
      </c>
      <c r="J15" s="139" t="s">
        <v>779</v>
      </c>
      <c r="K15" s="139"/>
      <c r="L15" s="150">
        <v>41142</v>
      </c>
      <c r="M15" s="139" t="s">
        <v>780</v>
      </c>
      <c r="N15" s="141" t="s">
        <v>855</v>
      </c>
      <c r="O15" s="139" t="s">
        <v>782</v>
      </c>
      <c r="P15" s="142" t="s">
        <v>856</v>
      </c>
      <c r="Q15" s="143">
        <v>25</v>
      </c>
      <c r="R15" s="151" t="s">
        <v>784</v>
      </c>
      <c r="S15" s="139" t="s">
        <v>785</v>
      </c>
      <c r="T15" s="139"/>
      <c r="U15" s="139"/>
      <c r="V15" s="139"/>
      <c r="W15" s="139" t="s">
        <v>786</v>
      </c>
      <c r="X15" s="139"/>
      <c r="Y15" s="139"/>
      <c r="Z15" s="139"/>
      <c r="AA15" s="152"/>
      <c r="AB15" s="143">
        <v>15116986902</v>
      </c>
      <c r="AC15" s="143"/>
      <c r="AD15" s="149" t="s">
        <v>857</v>
      </c>
      <c r="AE15" s="149"/>
      <c r="AF15" s="149"/>
      <c r="AG15" s="149"/>
      <c r="AH15" s="153"/>
      <c r="AI15" s="149" t="s">
        <v>791</v>
      </c>
      <c r="AJ15" s="149"/>
      <c r="AK15" s="149"/>
      <c r="AL15" s="142"/>
      <c r="AM15" s="142"/>
      <c r="AN15" s="148"/>
      <c r="AO15" s="149"/>
      <c r="AP15" s="139"/>
      <c r="AQ15" s="140"/>
    </row>
    <row r="16" s="87" customFormat="1" customHeight="1" spans="1:45">
      <c r="A16" s="122">
        <v>14</v>
      </c>
      <c r="B16" s="126">
        <v>41702</v>
      </c>
      <c r="C16" s="124"/>
      <c r="D16" s="125"/>
      <c r="E16" s="125"/>
      <c r="F16" s="127" t="s">
        <v>858</v>
      </c>
      <c r="G16" s="125"/>
      <c r="H16" s="125" t="s">
        <v>859</v>
      </c>
      <c r="I16" s="125" t="s">
        <v>802</v>
      </c>
      <c r="J16" s="125"/>
      <c r="K16" s="125"/>
      <c r="L16" s="126">
        <v>41487</v>
      </c>
      <c r="M16" s="125" t="str">
        <f ca="1">IF(L16="","",DATEDIF(L16,NOW(),"Y")&amp;"年"&amp;MOD(DATEDIF(L16,NOW(),"M"),12)&amp;"个月")</f>
        <v>12年5个月</v>
      </c>
      <c r="N16" s="127"/>
      <c r="O16" s="125"/>
      <c r="P16" s="128"/>
      <c r="Q16" s="129"/>
      <c r="R16" s="155"/>
      <c r="S16" s="125"/>
      <c r="T16" s="125"/>
      <c r="U16" s="125"/>
      <c r="V16" s="125"/>
      <c r="W16" s="125"/>
      <c r="X16" s="125"/>
      <c r="Y16" s="125"/>
      <c r="Z16" s="125"/>
      <c r="AA16" s="156"/>
      <c r="AB16" s="157">
        <v>15201525166</v>
      </c>
      <c r="AC16" s="157"/>
      <c r="AD16" s="136" t="s">
        <v>860</v>
      </c>
      <c r="AE16" s="136"/>
      <c r="AF16" s="136"/>
      <c r="AG16" s="136"/>
      <c r="AH16" s="157"/>
      <c r="AI16" s="136"/>
      <c r="AJ16" s="136"/>
      <c r="AK16" s="136"/>
      <c r="AL16" s="128"/>
      <c r="AM16" s="128"/>
      <c r="AN16" s="135"/>
      <c r="AO16" s="136"/>
      <c r="AP16" s="125"/>
      <c r="AQ16" s="126"/>
    </row>
    <row r="17" s="87" customFormat="1" customHeight="1" spans="1:43">
      <c r="A17" s="122">
        <v>15</v>
      </c>
      <c r="B17" s="126">
        <v>41702</v>
      </c>
      <c r="C17" s="124"/>
      <c r="D17" s="125"/>
      <c r="E17" s="125"/>
      <c r="F17" s="127" t="s">
        <v>861</v>
      </c>
      <c r="G17" s="125"/>
      <c r="H17" s="125" t="s">
        <v>859</v>
      </c>
      <c r="I17" s="125" t="s">
        <v>802</v>
      </c>
      <c r="J17" s="125"/>
      <c r="K17" s="125"/>
      <c r="L17" s="126">
        <v>41584</v>
      </c>
      <c r="M17" s="125" t="str">
        <f ca="1">IF(L17="","",DATEDIF(L17,NOW(),"Y")&amp;"年"&amp;MOD(DATEDIF(L17,NOW(),"M"),12)&amp;"个月")</f>
        <v>12年2个月</v>
      </c>
      <c r="N17" s="127"/>
      <c r="O17" s="125"/>
      <c r="P17" s="128"/>
      <c r="Q17" s="129"/>
      <c r="R17" s="155"/>
      <c r="S17" s="125"/>
      <c r="T17" s="125"/>
      <c r="U17" s="125"/>
      <c r="V17" s="125"/>
      <c r="W17" s="125"/>
      <c r="X17" s="125"/>
      <c r="Y17" s="125"/>
      <c r="Z17" s="125"/>
      <c r="AA17" s="156"/>
      <c r="AB17" s="129">
        <v>13021254973</v>
      </c>
      <c r="AC17" s="157"/>
      <c r="AD17" s="136" t="s">
        <v>862</v>
      </c>
      <c r="AE17" s="136"/>
      <c r="AF17" s="136"/>
      <c r="AG17" s="136"/>
      <c r="AH17" s="157"/>
      <c r="AI17" s="136"/>
      <c r="AJ17" s="136"/>
      <c r="AK17" s="136"/>
      <c r="AL17" s="128"/>
      <c r="AM17" s="128"/>
      <c r="AN17" s="135"/>
      <c r="AO17" s="136"/>
      <c r="AP17" s="125"/>
      <c r="AQ17" s="126"/>
    </row>
    <row r="18" s="87" customFormat="1" customHeight="1" spans="1:43">
      <c r="A18" s="122">
        <v>16</v>
      </c>
      <c r="B18" s="126">
        <v>41702</v>
      </c>
      <c r="C18" s="124"/>
      <c r="D18" s="173"/>
      <c r="E18" s="173"/>
      <c r="F18" s="127" t="s">
        <v>672</v>
      </c>
      <c r="G18" s="125"/>
      <c r="H18" s="125" t="s">
        <v>859</v>
      </c>
      <c r="I18" s="125" t="s">
        <v>802</v>
      </c>
      <c r="J18" s="125"/>
      <c r="K18" s="125"/>
      <c r="L18" s="126">
        <v>41641</v>
      </c>
      <c r="M18" s="125" t="str">
        <f ca="1">IF(L18="","",DATEDIF(L18,NOW(),"Y")&amp;"年"&amp;MOD(DATEDIF(L18,NOW(),"M"),12)&amp;"个月")</f>
        <v>12年0个月</v>
      </c>
      <c r="N18" s="127" t="s">
        <v>863</v>
      </c>
      <c r="O18" s="125" t="s">
        <v>782</v>
      </c>
      <c r="P18" s="128" t="s">
        <v>864</v>
      </c>
      <c r="Q18" s="129">
        <v>20</v>
      </c>
      <c r="R18" s="155"/>
      <c r="S18" s="125"/>
      <c r="T18" s="125"/>
      <c r="U18" s="125"/>
      <c r="V18" s="125"/>
      <c r="W18" s="125"/>
      <c r="X18" s="125"/>
      <c r="Y18" s="125"/>
      <c r="Z18" s="125"/>
      <c r="AA18" s="156"/>
      <c r="AB18" s="129">
        <v>18600162706</v>
      </c>
      <c r="AC18" s="157"/>
      <c r="AD18" s="136" t="s">
        <v>865</v>
      </c>
      <c r="AE18" s="136"/>
      <c r="AF18" s="136"/>
      <c r="AG18" s="136"/>
      <c r="AH18" s="157"/>
      <c r="AI18" s="136"/>
      <c r="AJ18" s="136"/>
      <c r="AK18" s="136"/>
      <c r="AL18" s="128"/>
      <c r="AM18" s="128"/>
      <c r="AN18" s="135"/>
      <c r="AO18" s="136"/>
      <c r="AP18" s="125"/>
      <c r="AQ18" s="126"/>
    </row>
    <row r="19" s="87" customFormat="1" customHeight="1" spans="1:43">
      <c r="A19" s="122">
        <v>17</v>
      </c>
      <c r="B19" s="126">
        <v>41702</v>
      </c>
      <c r="C19" s="125"/>
      <c r="D19" s="125"/>
      <c r="E19" s="125"/>
      <c r="F19" s="127" t="s">
        <v>866</v>
      </c>
      <c r="G19" s="125"/>
      <c r="H19" s="125" t="s">
        <v>867</v>
      </c>
      <c r="I19" s="125" t="s">
        <v>802</v>
      </c>
      <c r="J19" s="125"/>
      <c r="K19" s="125"/>
      <c r="L19" s="126">
        <v>41645</v>
      </c>
      <c r="M19" s="125" t="str">
        <f ca="1">IF(L19="","",DATEDIF(L19,NOW(),"Y")&amp;"年"&amp;MOD(DATEDIF(L19,NOW(),"M"),12)&amp;"个月")</f>
        <v>12年0个月</v>
      </c>
      <c r="N19" s="127" t="s">
        <v>868</v>
      </c>
      <c r="O19" s="125" t="s">
        <v>782</v>
      </c>
      <c r="P19" s="128" t="s">
        <v>869</v>
      </c>
      <c r="Q19" s="129">
        <v>23</v>
      </c>
      <c r="R19" s="155"/>
      <c r="S19" s="125"/>
      <c r="T19" s="125"/>
      <c r="U19" s="125"/>
      <c r="V19" s="125"/>
      <c r="W19" s="125"/>
      <c r="X19" s="125"/>
      <c r="Y19" s="125"/>
      <c r="Z19" s="125"/>
      <c r="AA19" s="156"/>
      <c r="AB19" s="157">
        <v>13718706215</v>
      </c>
      <c r="AC19" s="157"/>
      <c r="AD19" s="136" t="s">
        <v>870</v>
      </c>
      <c r="AE19" s="136"/>
      <c r="AF19" s="136"/>
      <c r="AG19" s="136"/>
      <c r="AH19" s="157"/>
      <c r="AI19" s="136"/>
      <c r="AJ19" s="136"/>
      <c r="AK19" s="136"/>
      <c r="AL19" s="128"/>
      <c r="AM19" s="128"/>
      <c r="AN19" s="135"/>
      <c r="AO19" s="136"/>
      <c r="AP19" s="125"/>
      <c r="AQ19" s="126"/>
    </row>
    <row r="20" s="85" customFormat="1" customHeight="1" spans="1:43">
      <c r="A20" s="122">
        <v>18</v>
      </c>
      <c r="B20" s="140">
        <v>41703</v>
      </c>
      <c r="C20" s="139"/>
      <c r="D20" s="139"/>
      <c r="E20" s="139"/>
      <c r="F20" s="141" t="s">
        <v>871</v>
      </c>
      <c r="G20" s="139"/>
      <c r="H20" s="139" t="s">
        <v>872</v>
      </c>
      <c r="I20" s="139" t="s">
        <v>687</v>
      </c>
      <c r="J20" s="139" t="s">
        <v>779</v>
      </c>
      <c r="K20" s="139"/>
      <c r="L20" s="150">
        <v>41511</v>
      </c>
      <c r="M20" s="139" t="s">
        <v>780</v>
      </c>
      <c r="N20" s="141" t="s">
        <v>873</v>
      </c>
      <c r="O20" s="139" t="s">
        <v>782</v>
      </c>
      <c r="P20" s="142" t="s">
        <v>874</v>
      </c>
      <c r="Q20" s="143">
        <v>29</v>
      </c>
      <c r="R20" s="151" t="s">
        <v>784</v>
      </c>
      <c r="S20" s="139" t="s">
        <v>785</v>
      </c>
      <c r="T20" s="139"/>
      <c r="U20" s="139"/>
      <c r="V20" s="139"/>
      <c r="W20" s="139" t="s">
        <v>786</v>
      </c>
      <c r="X20" s="139"/>
      <c r="Y20" s="139"/>
      <c r="Z20" s="139"/>
      <c r="AA20" s="152"/>
      <c r="AB20" s="153">
        <v>15801263227</v>
      </c>
      <c r="AC20" s="153"/>
      <c r="AD20" s="149" t="s">
        <v>875</v>
      </c>
      <c r="AE20" s="149"/>
      <c r="AF20" s="149"/>
      <c r="AG20" s="149"/>
      <c r="AH20" s="153"/>
      <c r="AI20" s="149" t="s">
        <v>791</v>
      </c>
      <c r="AJ20" s="149"/>
      <c r="AK20" s="149"/>
      <c r="AL20" s="142"/>
      <c r="AM20" s="142"/>
      <c r="AN20" s="148"/>
      <c r="AO20" s="149"/>
      <c r="AP20" s="139"/>
      <c r="AQ20" s="140"/>
    </row>
    <row r="21" s="85" customFormat="1" customHeight="1" spans="1:43">
      <c r="A21" s="122">
        <v>19</v>
      </c>
      <c r="B21" s="140">
        <v>41708</v>
      </c>
      <c r="C21" s="139"/>
      <c r="D21" s="139"/>
      <c r="E21" s="139"/>
      <c r="F21" s="141" t="s">
        <v>876</v>
      </c>
      <c r="G21" s="139"/>
      <c r="H21" s="139" t="s">
        <v>853</v>
      </c>
      <c r="I21" s="139" t="s">
        <v>687</v>
      </c>
      <c r="J21" s="139" t="s">
        <v>779</v>
      </c>
      <c r="K21" s="139"/>
      <c r="L21" s="150">
        <v>41288</v>
      </c>
      <c r="M21" s="139" t="s">
        <v>780</v>
      </c>
      <c r="N21" s="141" t="s">
        <v>877</v>
      </c>
      <c r="O21" s="139" t="s">
        <v>782</v>
      </c>
      <c r="P21" s="142" t="s">
        <v>878</v>
      </c>
      <c r="Q21" s="143">
        <v>28</v>
      </c>
      <c r="R21" s="151" t="s">
        <v>784</v>
      </c>
      <c r="S21" s="139" t="s">
        <v>879</v>
      </c>
      <c r="T21" s="139"/>
      <c r="U21" s="139"/>
      <c r="V21" s="139"/>
      <c r="W21" s="139" t="s">
        <v>786</v>
      </c>
      <c r="X21" s="139"/>
      <c r="Y21" s="139"/>
      <c r="Z21" s="139"/>
      <c r="AA21" s="152"/>
      <c r="AB21" s="153">
        <v>15901107726</v>
      </c>
      <c r="AC21" s="153"/>
      <c r="AD21" s="149" t="s">
        <v>880</v>
      </c>
      <c r="AE21" s="149"/>
      <c r="AF21" s="149"/>
      <c r="AG21" s="149"/>
      <c r="AH21" s="153"/>
      <c r="AI21" s="149" t="s">
        <v>791</v>
      </c>
      <c r="AJ21" s="149"/>
      <c r="AK21" s="149"/>
      <c r="AL21" s="142"/>
      <c r="AM21" s="142"/>
      <c r="AN21" s="148"/>
      <c r="AO21" s="149"/>
      <c r="AP21" s="139"/>
      <c r="AQ21" s="140"/>
    </row>
    <row r="22" s="85" customFormat="1" customHeight="1" spans="1:43">
      <c r="A22" s="122">
        <v>20</v>
      </c>
      <c r="B22" s="140">
        <v>41723</v>
      </c>
      <c r="C22" s="139"/>
      <c r="D22" s="139"/>
      <c r="E22" s="139"/>
      <c r="F22" s="141" t="s">
        <v>881</v>
      </c>
      <c r="G22" s="139"/>
      <c r="H22" s="139" t="s">
        <v>853</v>
      </c>
      <c r="I22" s="139" t="s">
        <v>882</v>
      </c>
      <c r="J22" s="139" t="s">
        <v>779</v>
      </c>
      <c r="K22" s="139"/>
      <c r="L22" s="150">
        <v>41250</v>
      </c>
      <c r="M22" s="139" t="s">
        <v>780</v>
      </c>
      <c r="N22" s="141" t="s">
        <v>883</v>
      </c>
      <c r="O22" s="139" t="s">
        <v>794</v>
      </c>
      <c r="P22" s="142" t="s">
        <v>884</v>
      </c>
      <c r="Q22" s="143">
        <v>25</v>
      </c>
      <c r="R22" s="151" t="s">
        <v>784</v>
      </c>
      <c r="S22" s="139" t="s">
        <v>785</v>
      </c>
      <c r="T22" s="139"/>
      <c r="U22" s="139"/>
      <c r="V22" s="139"/>
      <c r="W22" s="139" t="s">
        <v>786</v>
      </c>
      <c r="X22" s="139"/>
      <c r="Y22" s="139" t="s">
        <v>885</v>
      </c>
      <c r="Z22" s="139" t="s">
        <v>886</v>
      </c>
      <c r="AA22" s="152" t="s">
        <v>789</v>
      </c>
      <c r="AB22" s="143">
        <v>13902220786</v>
      </c>
      <c r="AC22" s="153"/>
      <c r="AD22" s="149" t="s">
        <v>887</v>
      </c>
      <c r="AE22" s="149"/>
      <c r="AF22" s="149"/>
      <c r="AG22" s="149"/>
      <c r="AH22" s="153"/>
      <c r="AI22" s="149" t="s">
        <v>775</v>
      </c>
      <c r="AJ22" s="149"/>
      <c r="AK22" s="149"/>
      <c r="AL22" s="142"/>
      <c r="AM22" s="142"/>
      <c r="AN22" s="148"/>
      <c r="AO22" s="149"/>
      <c r="AP22" s="139"/>
      <c r="AQ22" s="140"/>
    </row>
    <row r="23" s="86" customFormat="1" customHeight="1" spans="1:43">
      <c r="A23" s="122">
        <v>21</v>
      </c>
      <c r="B23" s="170">
        <v>41723</v>
      </c>
      <c r="C23" s="160"/>
      <c r="D23" s="160"/>
      <c r="E23" s="160"/>
      <c r="F23" s="161" t="s">
        <v>888</v>
      </c>
      <c r="G23" s="160"/>
      <c r="H23" s="160" t="s">
        <v>889</v>
      </c>
      <c r="I23" s="160" t="s">
        <v>814</v>
      </c>
      <c r="J23" s="160"/>
      <c r="K23" s="160"/>
      <c r="L23" s="170">
        <v>41681</v>
      </c>
      <c r="M23" s="160" t="str">
        <f ca="1" t="shared" ref="M23:M34" si="0">IF(L23="","",DATEDIF(L23,NOW(),"Y")&amp;"年"&amp;MOD(DATEDIF(L23,NOW(),"M"),12)&amp;"个月")</f>
        <v>11年11个月</v>
      </c>
      <c r="N23" s="161" t="s">
        <v>890</v>
      </c>
      <c r="O23" s="160" t="s">
        <v>794</v>
      </c>
      <c r="P23" s="163" t="s">
        <v>891</v>
      </c>
      <c r="Q23" s="164">
        <v>23</v>
      </c>
      <c r="R23" s="165"/>
      <c r="S23" s="160"/>
      <c r="T23" s="160"/>
      <c r="U23" s="160"/>
      <c r="V23" s="160"/>
      <c r="W23" s="160"/>
      <c r="X23" s="160"/>
      <c r="Y23" s="160"/>
      <c r="Z23" s="160"/>
      <c r="AA23" s="166"/>
      <c r="AB23" s="168">
        <v>15117956125</v>
      </c>
      <c r="AC23" s="164"/>
      <c r="AD23" s="167" t="s">
        <v>892</v>
      </c>
      <c r="AE23" s="167" t="s">
        <v>893</v>
      </c>
      <c r="AF23" s="167"/>
      <c r="AG23" s="167"/>
      <c r="AH23" s="168"/>
      <c r="AI23" s="167"/>
      <c r="AJ23" s="167"/>
      <c r="AK23" s="167"/>
      <c r="AL23" s="163"/>
      <c r="AM23" s="163"/>
      <c r="AN23" s="174"/>
      <c r="AO23" s="167"/>
      <c r="AP23" s="160"/>
      <c r="AQ23" s="170"/>
    </row>
    <row r="24" s="87" customFormat="1" customHeight="1" spans="1:43">
      <c r="A24" s="122">
        <v>22</v>
      </c>
      <c r="B24" s="126">
        <v>41725</v>
      </c>
      <c r="C24" s="125"/>
      <c r="D24" s="125"/>
      <c r="E24" s="125"/>
      <c r="F24" s="127" t="s">
        <v>894</v>
      </c>
      <c r="G24" s="125"/>
      <c r="H24" s="125" t="s">
        <v>895</v>
      </c>
      <c r="I24" s="125" t="s">
        <v>802</v>
      </c>
      <c r="J24" s="125"/>
      <c r="K24" s="125"/>
      <c r="L24" s="126">
        <v>41706</v>
      </c>
      <c r="M24" s="125" t="str">
        <f ca="1" t="shared" si="0"/>
        <v>11年10个月</v>
      </c>
      <c r="N24" s="127" t="s">
        <v>896</v>
      </c>
      <c r="O24" s="125" t="s">
        <v>794</v>
      </c>
      <c r="P24" s="128" t="s">
        <v>897</v>
      </c>
      <c r="Q24" s="129">
        <v>22</v>
      </c>
      <c r="R24" s="155"/>
      <c r="S24" s="125"/>
      <c r="T24" s="125"/>
      <c r="U24" s="125"/>
      <c r="V24" s="125"/>
      <c r="W24" s="125"/>
      <c r="X24" s="125"/>
      <c r="Y24" s="125"/>
      <c r="Z24" s="125"/>
      <c r="AA24" s="156"/>
      <c r="AB24" s="157">
        <v>13596435952</v>
      </c>
      <c r="AC24" s="129"/>
      <c r="AD24" s="136" t="s">
        <v>898</v>
      </c>
      <c r="AE24" s="136" t="s">
        <v>899</v>
      </c>
      <c r="AF24" s="136" t="s">
        <v>900</v>
      </c>
      <c r="AG24" s="136"/>
      <c r="AH24" s="157">
        <v>15276245366</v>
      </c>
      <c r="AI24" s="136"/>
      <c r="AJ24" s="136"/>
      <c r="AK24" s="136"/>
      <c r="AL24" s="128"/>
      <c r="AM24" s="128"/>
      <c r="AN24" s="135"/>
      <c r="AO24" s="136"/>
      <c r="AP24" s="125"/>
      <c r="AQ24" s="126"/>
    </row>
    <row r="25" s="87" customFormat="1" customHeight="1" spans="1:43">
      <c r="A25" s="122">
        <v>23</v>
      </c>
      <c r="B25" s="126">
        <v>41772</v>
      </c>
      <c r="C25" s="125"/>
      <c r="D25" s="125"/>
      <c r="E25" s="125"/>
      <c r="F25" s="127" t="s">
        <v>901</v>
      </c>
      <c r="G25" s="125"/>
      <c r="H25" s="125" t="s">
        <v>777</v>
      </c>
      <c r="I25" s="125" t="s">
        <v>802</v>
      </c>
      <c r="J25" s="125"/>
      <c r="K25" s="125"/>
      <c r="L25" s="126">
        <v>41556</v>
      </c>
      <c r="M25" s="125" t="str">
        <f ca="1" t="shared" si="0"/>
        <v>12年3个月</v>
      </c>
      <c r="N25" s="127" t="s">
        <v>902</v>
      </c>
      <c r="O25" s="125" t="s">
        <v>794</v>
      </c>
      <c r="P25" s="128" t="s">
        <v>903</v>
      </c>
      <c r="Q25" s="129">
        <v>24</v>
      </c>
      <c r="R25" s="155"/>
      <c r="S25" s="125"/>
      <c r="T25" s="125"/>
      <c r="U25" s="125"/>
      <c r="V25" s="125"/>
      <c r="W25" s="125"/>
      <c r="X25" s="125"/>
      <c r="Y25" s="125"/>
      <c r="Z25" s="125"/>
      <c r="AA25" s="156"/>
      <c r="AB25" s="157">
        <v>15811290565</v>
      </c>
      <c r="AC25" s="129"/>
      <c r="AD25" s="136" t="s">
        <v>904</v>
      </c>
      <c r="AE25" s="136" t="s">
        <v>905</v>
      </c>
      <c r="AF25" s="136" t="s">
        <v>906</v>
      </c>
      <c r="AG25" s="136"/>
      <c r="AH25" s="157">
        <v>13856543505</v>
      </c>
      <c r="AI25" s="136"/>
      <c r="AJ25" s="136"/>
      <c r="AK25" s="136"/>
      <c r="AL25" s="128"/>
      <c r="AM25" s="128"/>
      <c r="AN25" s="135"/>
      <c r="AO25" s="136"/>
      <c r="AP25" s="125"/>
      <c r="AQ25" s="126"/>
    </row>
    <row r="26" s="87" customFormat="1" customHeight="1" spans="1:43">
      <c r="A26" s="122">
        <v>24</v>
      </c>
      <c r="B26" s="126">
        <v>41820</v>
      </c>
      <c r="C26" s="125"/>
      <c r="D26" s="125"/>
      <c r="E26" s="125"/>
      <c r="F26" s="127" t="s">
        <v>907</v>
      </c>
      <c r="G26" s="125"/>
      <c r="H26" s="125" t="s">
        <v>872</v>
      </c>
      <c r="I26" s="125" t="s">
        <v>802</v>
      </c>
      <c r="J26" s="125"/>
      <c r="K26" s="125"/>
      <c r="L26" s="126">
        <v>41555</v>
      </c>
      <c r="M26" s="125" t="str">
        <f ca="1" t="shared" si="0"/>
        <v>12年3个月</v>
      </c>
      <c r="N26" s="127" t="s">
        <v>908</v>
      </c>
      <c r="O26" s="125" t="s">
        <v>782</v>
      </c>
      <c r="P26" s="128" t="s">
        <v>909</v>
      </c>
      <c r="Q26" s="129">
        <v>22</v>
      </c>
      <c r="R26" s="155"/>
      <c r="S26" s="125"/>
      <c r="T26" s="125"/>
      <c r="U26" s="125"/>
      <c r="V26" s="125"/>
      <c r="W26" s="125"/>
      <c r="X26" s="125"/>
      <c r="Y26" s="125"/>
      <c r="Z26" s="125"/>
      <c r="AA26" s="156"/>
      <c r="AB26" s="157">
        <v>15116990370</v>
      </c>
      <c r="AC26" s="129"/>
      <c r="AD26" s="136" t="s">
        <v>910</v>
      </c>
      <c r="AE26" s="136" t="s">
        <v>911</v>
      </c>
      <c r="AF26" s="136" t="s">
        <v>912</v>
      </c>
      <c r="AG26" s="136"/>
      <c r="AH26" s="157">
        <v>13980967163</v>
      </c>
      <c r="AI26" s="136"/>
      <c r="AJ26" s="136"/>
      <c r="AK26" s="136"/>
      <c r="AL26" s="128"/>
      <c r="AM26" s="128"/>
      <c r="AN26" s="135"/>
      <c r="AO26" s="136"/>
      <c r="AP26" s="125"/>
      <c r="AQ26" s="126"/>
    </row>
    <row r="27" s="87" customFormat="1" customHeight="1" spans="1:43">
      <c r="A27" s="122">
        <v>25</v>
      </c>
      <c r="B27" s="126">
        <v>41857</v>
      </c>
      <c r="C27" s="125"/>
      <c r="D27" s="125"/>
      <c r="E27" s="125"/>
      <c r="F27" s="127" t="s">
        <v>913</v>
      </c>
      <c r="G27" s="125"/>
      <c r="H27" s="125" t="s">
        <v>777</v>
      </c>
      <c r="I27" s="125" t="s">
        <v>802</v>
      </c>
      <c r="J27" s="123" t="s">
        <v>803</v>
      </c>
      <c r="K27" s="125"/>
      <c r="L27" s="126">
        <v>41750</v>
      </c>
      <c r="M27" s="125" t="str">
        <f ca="1" t="shared" si="0"/>
        <v>11年9个月</v>
      </c>
      <c r="N27" s="127" t="s">
        <v>914</v>
      </c>
      <c r="O27" s="125" t="s">
        <v>782</v>
      </c>
      <c r="P27" s="128" t="s">
        <v>915</v>
      </c>
      <c r="Q27" s="129">
        <v>20</v>
      </c>
      <c r="R27" s="155"/>
      <c r="S27" s="125"/>
      <c r="T27" s="125"/>
      <c r="U27" s="125"/>
      <c r="V27" s="125"/>
      <c r="W27" s="125"/>
      <c r="X27" s="125"/>
      <c r="Y27" s="125"/>
      <c r="Z27" s="125"/>
      <c r="AA27" s="156"/>
      <c r="AB27" s="157">
        <v>13146061142</v>
      </c>
      <c r="AC27" s="129"/>
      <c r="AD27" s="136" t="s">
        <v>916</v>
      </c>
      <c r="AE27" s="136" t="s">
        <v>917</v>
      </c>
      <c r="AF27" s="136" t="s">
        <v>918</v>
      </c>
      <c r="AG27" s="136"/>
      <c r="AH27" s="157">
        <v>18800109089</v>
      </c>
      <c r="AI27" s="136"/>
      <c r="AJ27" s="136"/>
      <c r="AK27" s="136"/>
      <c r="AL27" s="128"/>
      <c r="AM27" s="128"/>
      <c r="AN27" s="129"/>
      <c r="AO27" s="136"/>
      <c r="AP27" s="125"/>
      <c r="AQ27" s="126"/>
    </row>
    <row r="28" s="87" customFormat="1" customHeight="1" spans="1:43">
      <c r="A28" s="122">
        <v>26</v>
      </c>
      <c r="B28" s="126">
        <v>41882</v>
      </c>
      <c r="C28" s="125"/>
      <c r="D28" s="125"/>
      <c r="E28" s="125"/>
      <c r="F28" s="127" t="s">
        <v>147</v>
      </c>
      <c r="G28" s="125"/>
      <c r="H28" s="125" t="s">
        <v>872</v>
      </c>
      <c r="I28" s="125" t="s">
        <v>802</v>
      </c>
      <c r="J28" s="125" t="s">
        <v>919</v>
      </c>
      <c r="K28" s="125"/>
      <c r="L28" s="126">
        <v>41565</v>
      </c>
      <c r="M28" s="125" t="str">
        <f ca="1" t="shared" si="0"/>
        <v>12年3个月</v>
      </c>
      <c r="N28" s="127" t="s">
        <v>920</v>
      </c>
      <c r="O28" s="125" t="s">
        <v>782</v>
      </c>
      <c r="P28" s="128" t="s">
        <v>921</v>
      </c>
      <c r="Q28" s="129">
        <v>22</v>
      </c>
      <c r="R28" s="155"/>
      <c r="S28" s="125"/>
      <c r="T28" s="125"/>
      <c r="U28" s="125"/>
      <c r="V28" s="125"/>
      <c r="W28" s="125"/>
      <c r="X28" s="125"/>
      <c r="Y28" s="125"/>
      <c r="Z28" s="125"/>
      <c r="AA28" s="156"/>
      <c r="AB28" s="157">
        <v>13439689801</v>
      </c>
      <c r="AC28" s="129"/>
      <c r="AD28" s="136" t="s">
        <v>922</v>
      </c>
      <c r="AE28" s="136" t="s">
        <v>923</v>
      </c>
      <c r="AF28" s="136" t="s">
        <v>924</v>
      </c>
      <c r="AG28" s="136"/>
      <c r="AH28" s="157">
        <v>13901051654</v>
      </c>
      <c r="AI28" s="136"/>
      <c r="AJ28" s="136"/>
      <c r="AK28" s="136"/>
      <c r="AL28" s="128"/>
      <c r="AM28" s="128"/>
      <c r="AN28" s="135"/>
      <c r="AO28" s="136"/>
      <c r="AP28" s="125"/>
      <c r="AQ28" s="126"/>
    </row>
    <row r="29" s="87" customFormat="1" customHeight="1" spans="1:43">
      <c r="A29" s="122">
        <v>27</v>
      </c>
      <c r="B29" s="126">
        <v>41882</v>
      </c>
      <c r="C29" s="125"/>
      <c r="D29" s="125"/>
      <c r="E29" s="125"/>
      <c r="F29" s="127" t="s">
        <v>925</v>
      </c>
      <c r="G29" s="125"/>
      <c r="H29" s="125" t="s">
        <v>872</v>
      </c>
      <c r="I29" s="125" t="s">
        <v>802</v>
      </c>
      <c r="J29" s="123" t="s">
        <v>803</v>
      </c>
      <c r="K29" s="125"/>
      <c r="L29" s="126">
        <v>41621</v>
      </c>
      <c r="M29" s="125" t="str">
        <f ca="1" t="shared" si="0"/>
        <v>12年1个月</v>
      </c>
      <c r="N29" s="127" t="s">
        <v>926</v>
      </c>
      <c r="O29" s="125" t="s">
        <v>782</v>
      </c>
      <c r="P29" s="128" t="s">
        <v>927</v>
      </c>
      <c r="Q29" s="129">
        <v>22</v>
      </c>
      <c r="R29" s="155"/>
      <c r="S29" s="125"/>
      <c r="T29" s="125"/>
      <c r="U29" s="125"/>
      <c r="V29" s="125"/>
      <c r="W29" s="125"/>
      <c r="X29" s="125"/>
      <c r="Y29" s="125"/>
      <c r="Z29" s="125"/>
      <c r="AA29" s="156"/>
      <c r="AB29" s="157">
        <v>18810306017</v>
      </c>
      <c r="AC29" s="129"/>
      <c r="AD29" s="136" t="s">
        <v>928</v>
      </c>
      <c r="AE29" s="136" t="s">
        <v>929</v>
      </c>
      <c r="AF29" s="136" t="s">
        <v>930</v>
      </c>
      <c r="AG29" s="136"/>
      <c r="AH29" s="157">
        <v>13890162852</v>
      </c>
      <c r="AI29" s="136"/>
      <c r="AJ29" s="136"/>
      <c r="AK29" s="136"/>
      <c r="AL29" s="128"/>
      <c r="AM29" s="128"/>
      <c r="AN29" s="129"/>
      <c r="AO29" s="136"/>
      <c r="AP29" s="125"/>
      <c r="AQ29" s="126"/>
    </row>
    <row r="30" s="87" customFormat="1" customHeight="1" spans="1:43">
      <c r="A30" s="122">
        <v>28</v>
      </c>
      <c r="B30" s="126">
        <v>41882</v>
      </c>
      <c r="C30" s="125"/>
      <c r="D30" s="125"/>
      <c r="E30" s="125"/>
      <c r="F30" s="127" t="s">
        <v>931</v>
      </c>
      <c r="G30" s="125"/>
      <c r="H30" s="125" t="s">
        <v>872</v>
      </c>
      <c r="I30" s="125" t="s">
        <v>802</v>
      </c>
      <c r="J30" s="123" t="s">
        <v>803</v>
      </c>
      <c r="K30" s="125"/>
      <c r="L30" s="126">
        <v>41705</v>
      </c>
      <c r="M30" s="125" t="str">
        <f ca="1" t="shared" si="0"/>
        <v>11年10个月</v>
      </c>
      <c r="N30" s="127" t="s">
        <v>932</v>
      </c>
      <c r="O30" s="125" t="s">
        <v>782</v>
      </c>
      <c r="P30" s="128" t="s">
        <v>933</v>
      </c>
      <c r="Q30" s="129">
        <v>22</v>
      </c>
      <c r="R30" s="155"/>
      <c r="S30" s="125"/>
      <c r="T30" s="125"/>
      <c r="U30" s="125"/>
      <c r="V30" s="125"/>
      <c r="W30" s="125"/>
      <c r="X30" s="125"/>
      <c r="Y30" s="125"/>
      <c r="Z30" s="125"/>
      <c r="AA30" s="156"/>
      <c r="AB30" s="157">
        <v>18600162820</v>
      </c>
      <c r="AC30" s="129"/>
      <c r="AD30" s="136" t="s">
        <v>934</v>
      </c>
      <c r="AE30" s="136" t="s">
        <v>935</v>
      </c>
      <c r="AF30" s="136" t="s">
        <v>936</v>
      </c>
      <c r="AG30" s="136"/>
      <c r="AH30" s="157">
        <v>13043213528</v>
      </c>
      <c r="AI30" s="136"/>
      <c r="AJ30" s="136"/>
      <c r="AK30" s="136"/>
      <c r="AL30" s="128"/>
      <c r="AM30" s="128"/>
      <c r="AN30" s="129"/>
      <c r="AO30" s="136"/>
      <c r="AP30" s="125"/>
      <c r="AQ30" s="126"/>
    </row>
    <row r="31" s="87" customFormat="1" customHeight="1" spans="1:43">
      <c r="A31" s="122">
        <v>29</v>
      </c>
      <c r="B31" s="126">
        <v>41904</v>
      </c>
      <c r="C31" s="125"/>
      <c r="D31" s="125"/>
      <c r="E31" s="125"/>
      <c r="F31" s="127" t="s">
        <v>937</v>
      </c>
      <c r="G31" s="125"/>
      <c r="H31" s="125" t="s">
        <v>872</v>
      </c>
      <c r="I31" s="125" t="s">
        <v>802</v>
      </c>
      <c r="J31" s="123" t="s">
        <v>803</v>
      </c>
      <c r="K31" s="125"/>
      <c r="L31" s="126">
        <v>41704</v>
      </c>
      <c r="M31" s="125" t="str">
        <f ca="1" t="shared" si="0"/>
        <v>11年10个月</v>
      </c>
      <c r="N31" s="127" t="s">
        <v>938</v>
      </c>
      <c r="O31" s="125" t="s">
        <v>782</v>
      </c>
      <c r="P31" s="128" t="s">
        <v>939</v>
      </c>
      <c r="Q31" s="129">
        <v>22</v>
      </c>
      <c r="R31" s="155"/>
      <c r="S31" s="125"/>
      <c r="T31" s="125"/>
      <c r="U31" s="125"/>
      <c r="V31" s="125"/>
      <c r="W31" s="125"/>
      <c r="X31" s="125"/>
      <c r="Y31" s="125"/>
      <c r="Z31" s="125"/>
      <c r="AA31" s="156"/>
      <c r="AB31" s="129">
        <v>18101159669</v>
      </c>
      <c r="AC31" s="157"/>
      <c r="AD31" s="136" t="s">
        <v>940</v>
      </c>
      <c r="AE31" s="136" t="s">
        <v>941</v>
      </c>
      <c r="AF31" s="136" t="s">
        <v>942</v>
      </c>
      <c r="AG31" s="136"/>
      <c r="AH31" s="157">
        <v>15951539823</v>
      </c>
      <c r="AI31" s="136"/>
      <c r="AJ31" s="136"/>
      <c r="AK31" s="136"/>
      <c r="AL31" s="128"/>
      <c r="AM31" s="128"/>
      <c r="AN31" s="129"/>
      <c r="AO31" s="136"/>
      <c r="AP31" s="125"/>
      <c r="AQ31" s="126"/>
    </row>
    <row r="32" s="87" customFormat="1" customHeight="1" spans="1:43">
      <c r="A32" s="122">
        <v>30</v>
      </c>
      <c r="B32" s="126">
        <v>41904</v>
      </c>
      <c r="C32" s="125"/>
      <c r="D32" s="125"/>
      <c r="E32" s="125"/>
      <c r="F32" s="127" t="s">
        <v>943</v>
      </c>
      <c r="G32" s="125"/>
      <c r="H32" s="125" t="s">
        <v>777</v>
      </c>
      <c r="I32" s="125" t="s">
        <v>802</v>
      </c>
      <c r="J32" s="123" t="s">
        <v>803</v>
      </c>
      <c r="K32" s="125"/>
      <c r="L32" s="154">
        <v>41858</v>
      </c>
      <c r="M32" s="125" t="str">
        <f ca="1" t="shared" si="0"/>
        <v>11年5个月</v>
      </c>
      <c r="N32" s="127" t="s">
        <v>944</v>
      </c>
      <c r="O32" s="125" t="s">
        <v>782</v>
      </c>
      <c r="P32" s="128" t="s">
        <v>945</v>
      </c>
      <c r="Q32" s="129">
        <v>20</v>
      </c>
      <c r="R32" s="155"/>
      <c r="S32" s="125"/>
      <c r="T32" s="125"/>
      <c r="U32" s="125"/>
      <c r="V32" s="125"/>
      <c r="W32" s="125"/>
      <c r="X32" s="125"/>
      <c r="Y32" s="125"/>
      <c r="Z32" s="125"/>
      <c r="AA32" s="156"/>
      <c r="AB32" s="129">
        <v>18810311303</v>
      </c>
      <c r="AC32" s="157"/>
      <c r="AD32" s="136" t="s">
        <v>946</v>
      </c>
      <c r="AE32" s="136" t="s">
        <v>947</v>
      </c>
      <c r="AF32" s="136"/>
      <c r="AG32" s="136"/>
      <c r="AH32" s="157"/>
      <c r="AI32" s="136"/>
      <c r="AJ32" s="136"/>
      <c r="AK32" s="136"/>
      <c r="AL32" s="128"/>
      <c r="AM32" s="128"/>
      <c r="AN32" s="129"/>
      <c r="AO32" s="136"/>
      <c r="AP32" s="125"/>
      <c r="AQ32" s="126"/>
    </row>
    <row r="33" s="87" customFormat="1" customHeight="1" spans="1:44">
      <c r="A33" s="122">
        <v>31</v>
      </c>
      <c r="B33" s="126">
        <v>41925</v>
      </c>
      <c r="C33" s="125"/>
      <c r="D33" s="125"/>
      <c r="E33" s="125"/>
      <c r="F33" s="127" t="s">
        <v>948</v>
      </c>
      <c r="G33" s="125"/>
      <c r="H33" s="125" t="s">
        <v>872</v>
      </c>
      <c r="I33" s="125" t="s">
        <v>802</v>
      </c>
      <c r="J33" s="123" t="s">
        <v>803</v>
      </c>
      <c r="K33" s="125"/>
      <c r="L33" s="126">
        <v>41626</v>
      </c>
      <c r="M33" s="125" t="str">
        <f ca="1" t="shared" si="0"/>
        <v>12年1个月</v>
      </c>
      <c r="N33" s="127" t="s">
        <v>949</v>
      </c>
      <c r="O33" s="125" t="s">
        <v>782</v>
      </c>
      <c r="P33" s="128" t="s">
        <v>950</v>
      </c>
      <c r="Q33" s="129">
        <v>21</v>
      </c>
      <c r="R33" s="155"/>
      <c r="S33" s="125"/>
      <c r="T33" s="125"/>
      <c r="U33" s="125"/>
      <c r="V33" s="125"/>
      <c r="W33" s="125"/>
      <c r="X33" s="125"/>
      <c r="Y33" s="125"/>
      <c r="Z33" s="125"/>
      <c r="AA33" s="156"/>
      <c r="AB33" s="129">
        <v>15556276987</v>
      </c>
      <c r="AC33" s="157"/>
      <c r="AD33" s="136" t="s">
        <v>951</v>
      </c>
      <c r="AE33" s="136"/>
      <c r="AF33" s="136"/>
      <c r="AG33" s="136"/>
      <c r="AH33" s="157"/>
      <c r="AI33" s="136"/>
      <c r="AJ33" s="136"/>
      <c r="AK33" s="136"/>
      <c r="AL33" s="128"/>
      <c r="AM33" s="128"/>
      <c r="AN33" s="129"/>
      <c r="AO33" s="136"/>
      <c r="AP33" s="125"/>
      <c r="AQ33" s="126"/>
      <c r="AR33" s="89"/>
    </row>
    <row r="34" s="87" customFormat="1" customHeight="1" spans="1:44">
      <c r="A34" s="122">
        <v>32</v>
      </c>
      <c r="B34" s="126">
        <v>41928</v>
      </c>
      <c r="C34" s="125"/>
      <c r="D34" s="125"/>
      <c r="E34" s="125"/>
      <c r="F34" s="127" t="s">
        <v>952</v>
      </c>
      <c r="G34" s="125"/>
      <c r="H34" s="125" t="s">
        <v>777</v>
      </c>
      <c r="I34" s="125" t="s">
        <v>802</v>
      </c>
      <c r="J34" s="123" t="s">
        <v>803</v>
      </c>
      <c r="K34" s="125"/>
      <c r="L34" s="154">
        <v>41835</v>
      </c>
      <c r="M34" s="125" t="str">
        <f ca="1" t="shared" si="0"/>
        <v>11年6个月</v>
      </c>
      <c r="N34" s="127" t="s">
        <v>953</v>
      </c>
      <c r="O34" s="125" t="s">
        <v>782</v>
      </c>
      <c r="P34" s="128" t="s">
        <v>954</v>
      </c>
      <c r="Q34" s="129">
        <v>21</v>
      </c>
      <c r="R34" s="155"/>
      <c r="S34" s="125"/>
      <c r="T34" s="125"/>
      <c r="U34" s="125"/>
      <c r="V34" s="125"/>
      <c r="W34" s="125"/>
      <c r="X34" s="125"/>
      <c r="Y34" s="125"/>
      <c r="Z34" s="125"/>
      <c r="AA34" s="156"/>
      <c r="AB34" s="129">
        <v>18811369947</v>
      </c>
      <c r="AC34" s="157"/>
      <c r="AD34" s="136" t="s">
        <v>955</v>
      </c>
      <c r="AE34" s="136" t="s">
        <v>956</v>
      </c>
      <c r="AF34" s="136" t="s">
        <v>957</v>
      </c>
      <c r="AG34" s="136"/>
      <c r="AH34" s="157">
        <v>13803062045</v>
      </c>
      <c r="AI34" s="136"/>
      <c r="AJ34" s="136"/>
      <c r="AK34" s="136"/>
      <c r="AL34" s="128"/>
      <c r="AM34" s="128"/>
      <c r="AN34" s="129"/>
      <c r="AO34" s="136"/>
      <c r="AP34" s="125"/>
      <c r="AQ34" s="126"/>
      <c r="AR34" s="89"/>
    </row>
    <row r="35" s="85" customFormat="1" customHeight="1" spans="1:44">
      <c r="A35" s="122">
        <v>34</v>
      </c>
      <c r="B35" s="140">
        <v>41981</v>
      </c>
      <c r="C35" s="139"/>
      <c r="D35" s="139"/>
      <c r="E35" s="139"/>
      <c r="F35" s="141" t="s">
        <v>958</v>
      </c>
      <c r="G35" s="139"/>
      <c r="H35" s="139" t="s">
        <v>843</v>
      </c>
      <c r="I35" s="139" t="s">
        <v>208</v>
      </c>
      <c r="J35" s="139" t="s">
        <v>779</v>
      </c>
      <c r="K35" s="139"/>
      <c r="L35" s="150">
        <v>41508</v>
      </c>
      <c r="M35" s="139" t="s">
        <v>780</v>
      </c>
      <c r="N35" s="141" t="s">
        <v>959</v>
      </c>
      <c r="O35" s="139" t="s">
        <v>782</v>
      </c>
      <c r="P35" s="142" t="s">
        <v>960</v>
      </c>
      <c r="Q35" s="143">
        <v>28</v>
      </c>
      <c r="R35" s="151" t="s">
        <v>784</v>
      </c>
      <c r="S35" s="139" t="s">
        <v>879</v>
      </c>
      <c r="T35" s="139"/>
      <c r="U35" s="139"/>
      <c r="V35" s="139"/>
      <c r="W35" s="139" t="s">
        <v>832</v>
      </c>
      <c r="X35" s="139"/>
      <c r="Y35" s="139" t="s">
        <v>961</v>
      </c>
      <c r="Z35" s="139" t="s">
        <v>962</v>
      </c>
      <c r="AA35" s="152" t="s">
        <v>789</v>
      </c>
      <c r="AB35" s="143">
        <v>13065943112</v>
      </c>
      <c r="AC35" s="153"/>
      <c r="AD35" s="149" t="s">
        <v>963</v>
      </c>
      <c r="AE35" s="149"/>
      <c r="AF35" s="149"/>
      <c r="AG35" s="149"/>
      <c r="AH35" s="153"/>
      <c r="AI35" s="149" t="s">
        <v>791</v>
      </c>
      <c r="AJ35" s="149"/>
      <c r="AK35" s="149"/>
      <c r="AL35" s="142"/>
      <c r="AM35" s="142"/>
      <c r="AN35" s="148"/>
      <c r="AO35" s="149"/>
      <c r="AP35" s="139"/>
      <c r="AQ35" s="140"/>
      <c r="AR35" s="88"/>
    </row>
    <row r="36" s="85" customFormat="1" customHeight="1" spans="1:44">
      <c r="A36" s="122">
        <v>35</v>
      </c>
      <c r="B36" s="140">
        <v>41982</v>
      </c>
      <c r="C36" s="139"/>
      <c r="D36" s="139"/>
      <c r="E36" s="139"/>
      <c r="F36" s="141" t="s">
        <v>964</v>
      </c>
      <c r="G36" s="139"/>
      <c r="H36" s="139" t="s">
        <v>843</v>
      </c>
      <c r="I36" s="139" t="s">
        <v>965</v>
      </c>
      <c r="J36" s="139" t="s">
        <v>803</v>
      </c>
      <c r="K36" s="139"/>
      <c r="L36" s="175">
        <v>41579</v>
      </c>
      <c r="M36" s="139" t="s">
        <v>780</v>
      </c>
      <c r="N36" s="141" t="s">
        <v>966</v>
      </c>
      <c r="O36" s="139" t="s">
        <v>794</v>
      </c>
      <c r="P36" s="142" t="s">
        <v>967</v>
      </c>
      <c r="Q36" s="143">
        <v>24</v>
      </c>
      <c r="R36" s="151" t="s">
        <v>784</v>
      </c>
      <c r="S36" s="139" t="s">
        <v>785</v>
      </c>
      <c r="T36" s="139"/>
      <c r="U36" s="139"/>
      <c r="V36" s="139"/>
      <c r="W36" s="139" t="s">
        <v>786</v>
      </c>
      <c r="X36" s="139"/>
      <c r="Y36" s="139" t="s">
        <v>968</v>
      </c>
      <c r="Z36" s="139" t="s">
        <v>969</v>
      </c>
      <c r="AA36" s="152" t="s">
        <v>789</v>
      </c>
      <c r="AB36" s="143">
        <v>18614036678</v>
      </c>
      <c r="AC36" s="153"/>
      <c r="AD36" s="149" t="s">
        <v>970</v>
      </c>
      <c r="AE36" s="149"/>
      <c r="AF36" s="149"/>
      <c r="AG36" s="149"/>
      <c r="AH36" s="153"/>
      <c r="AI36" s="149"/>
      <c r="AJ36" s="149"/>
      <c r="AK36" s="149"/>
      <c r="AL36" s="142"/>
      <c r="AM36" s="142"/>
      <c r="AN36" s="143"/>
      <c r="AO36" s="149"/>
      <c r="AP36" s="139"/>
      <c r="AQ36" s="140"/>
      <c r="AR36" s="88"/>
    </row>
    <row r="37" s="85" customFormat="1" customHeight="1" spans="1:44">
      <c r="A37" s="122">
        <v>36</v>
      </c>
      <c r="B37" s="140">
        <v>42026</v>
      </c>
      <c r="C37" s="139"/>
      <c r="D37" s="139"/>
      <c r="E37" s="139"/>
      <c r="F37" s="137" t="s">
        <v>971</v>
      </c>
      <c r="G37" s="139"/>
      <c r="H37" s="137" t="s">
        <v>801</v>
      </c>
      <c r="I37" s="137" t="s">
        <v>972</v>
      </c>
      <c r="J37" s="137" t="s">
        <v>803</v>
      </c>
      <c r="K37" s="139"/>
      <c r="L37" s="140">
        <v>41848</v>
      </c>
      <c r="M37" s="139" t="str">
        <f ca="1">IF(L37="","",DATEDIF(L37,NOW(),"Y")&amp;"年"&amp;MOD(DATEDIF(L37,NOW(),"M"),12)&amp;"个月")</f>
        <v>11年6个月</v>
      </c>
      <c r="N37" s="141" t="s">
        <v>973</v>
      </c>
      <c r="O37" s="139" t="str">
        <f>IF(N37="","",IF(AND(LEN(N37)&lt;&gt;15,LEN(N37)&lt;&gt;18),"错误",IF(MOD(IF(LEN(N37)=15,MID(N37,15,1),MID(N37,17,1)),2)=1,"男","女")))</f>
        <v>男</v>
      </c>
      <c r="P37" s="142">
        <f>IF(N37="","",IF(AND(LEN(N37)&lt;&gt;15,LEN(N37)&lt;&gt;18),"错误",IF(LEN(N37)=15,DATE(MID(N37,7,2),MID(N37,9,2),MID(N37,11,2)),DATE(MID(N37,7,4),MID(N37,11,2),MID(N37,13,2)))))</f>
        <v>31553</v>
      </c>
      <c r="Q37" s="143">
        <f ca="1">IF(N37="","",IF(AND(LEN(N37)&lt;&gt;15,LEN(N37)&lt;&gt;18),"错误",ROUNDDOWN((NOW()-P37)/365,0)))</f>
        <v>39</v>
      </c>
      <c r="R37" s="144" t="s">
        <v>784</v>
      </c>
      <c r="S37" s="137" t="s">
        <v>785</v>
      </c>
      <c r="T37" s="137"/>
      <c r="U37" s="139"/>
      <c r="V37" s="139"/>
      <c r="W37" s="137" t="s">
        <v>786</v>
      </c>
      <c r="X37" s="137" t="s">
        <v>974</v>
      </c>
      <c r="Y37" s="137" t="s">
        <v>975</v>
      </c>
      <c r="Z37" s="137" t="s">
        <v>824</v>
      </c>
      <c r="AA37" s="145"/>
      <c r="AB37" s="122">
        <v>13488817293</v>
      </c>
      <c r="AC37" s="147"/>
      <c r="AD37" s="146"/>
      <c r="AE37" s="146"/>
      <c r="AF37" s="146"/>
      <c r="AG37" s="146"/>
      <c r="AH37" s="147"/>
      <c r="AI37" s="146"/>
      <c r="AJ37" s="146"/>
      <c r="AK37" s="146"/>
      <c r="AL37" s="142"/>
      <c r="AM37" s="142"/>
      <c r="AN37" s="143"/>
      <c r="AO37" s="149"/>
      <c r="AP37" s="139"/>
      <c r="AQ37" s="140"/>
      <c r="AR37" s="88"/>
    </row>
    <row r="38" s="87" customFormat="1" customHeight="1" spans="1:44">
      <c r="A38" s="122">
        <v>37</v>
      </c>
      <c r="B38" s="126">
        <v>42036</v>
      </c>
      <c r="C38" s="125"/>
      <c r="D38" s="125"/>
      <c r="E38" s="125"/>
      <c r="F38" s="127" t="s">
        <v>976</v>
      </c>
      <c r="G38" s="125"/>
      <c r="H38" s="125" t="s">
        <v>843</v>
      </c>
      <c r="I38" s="125" t="s">
        <v>27</v>
      </c>
      <c r="J38" s="123" t="s">
        <v>803</v>
      </c>
      <c r="K38" s="125"/>
      <c r="L38" s="126">
        <v>41960</v>
      </c>
      <c r="M38" s="125" t="str">
        <f ca="1">IF(L38="","",DATEDIF(L38,NOW(),"Y")&amp;"年"&amp;MOD(DATEDIF(L38,NOW(),"M"),12)&amp;"个月")</f>
        <v>11年2个月</v>
      </c>
      <c r="N38" s="127" t="s">
        <v>977</v>
      </c>
      <c r="O38" s="125" t="str">
        <f>IF(N38="","",IF(AND(LEN(N38)&lt;&gt;15,LEN(N38)&lt;&gt;18),"错误",IF(MOD(IF(LEN(N38)=15,MID(N38,15,1),MID(N38,17,1)),2)=1,"男","女")))</f>
        <v>男</v>
      </c>
      <c r="P38" s="128">
        <f>IF(N38="","",IF(AND(LEN(N38)&lt;&gt;15,LEN(N38)&lt;&gt;18),"错误",IF(LEN(N38)=15,DATE(MID(N38,7,2),MID(N38,9,2),MID(N38,11,2)),DATE(MID(N38,7,4),MID(N38,11,2),MID(N38,13,2)))))</f>
        <v>34060</v>
      </c>
      <c r="Q38" s="129">
        <f ca="1">IF(N38="","",IF(AND(LEN(N38)&lt;&gt;15,LEN(N38)&lt;&gt;18),"错误",ROUNDDOWN((NOW()-P38)/365,0)))</f>
        <v>32</v>
      </c>
      <c r="R38" s="155"/>
      <c r="S38" s="125"/>
      <c r="T38" s="125"/>
      <c r="U38" s="125"/>
      <c r="V38" s="125"/>
      <c r="W38" s="125"/>
      <c r="X38" s="125" t="s">
        <v>822</v>
      </c>
      <c r="Y38" s="125" t="s">
        <v>806</v>
      </c>
      <c r="Z38" s="125" t="s">
        <v>807</v>
      </c>
      <c r="AA38" s="156"/>
      <c r="AB38" s="176">
        <v>18810305262</v>
      </c>
      <c r="AC38" s="177"/>
      <c r="AD38" s="178" t="s">
        <v>978</v>
      </c>
      <c r="AE38" s="136" t="s">
        <v>979</v>
      </c>
      <c r="AF38" s="136" t="s">
        <v>980</v>
      </c>
      <c r="AG38" s="136"/>
      <c r="AH38" s="157">
        <v>13979344090</v>
      </c>
      <c r="AI38" s="136"/>
      <c r="AJ38" s="136"/>
      <c r="AK38" s="136"/>
      <c r="AL38" s="128"/>
      <c r="AM38" s="128"/>
      <c r="AN38" s="129"/>
      <c r="AO38" s="136"/>
      <c r="AP38" s="125"/>
      <c r="AQ38" s="126"/>
      <c r="AR38" s="89"/>
    </row>
    <row r="39" s="87" customFormat="1" customHeight="1" spans="1:44">
      <c r="A39" s="122">
        <v>38</v>
      </c>
      <c r="B39" s="126">
        <v>42064</v>
      </c>
      <c r="C39" s="125"/>
      <c r="D39" s="125"/>
      <c r="E39" s="125"/>
      <c r="F39" s="127" t="s">
        <v>981</v>
      </c>
      <c r="G39" s="125"/>
      <c r="H39" s="125" t="s">
        <v>801</v>
      </c>
      <c r="I39" s="125" t="s">
        <v>27</v>
      </c>
      <c r="J39" s="123" t="s">
        <v>803</v>
      </c>
      <c r="K39" s="125"/>
      <c r="L39" s="154">
        <v>41440</v>
      </c>
      <c r="M39" s="125" t="str">
        <f ca="1">IF(L39="","",DATEDIF(L39,NOW(),"Y")&amp;"年"&amp;MOD(DATEDIF(L39,NOW(),"M"),12)&amp;"个月")</f>
        <v>12年7个月</v>
      </c>
      <c r="N39" s="127" t="s">
        <v>982</v>
      </c>
      <c r="O39" s="125" t="str">
        <f>IF(N39="","",IF(AND(LEN(N39)&lt;&gt;15,LEN(N39)&lt;&gt;18),"错误",IF(MOD(IF(LEN(N39)=15,MID(N39,15,1),MID(N39,17,1)),2)=1,"男","女")))</f>
        <v>男</v>
      </c>
      <c r="P39" s="128">
        <f>IF(N39="","",IF(AND(LEN(N39)&lt;&gt;15,LEN(N39)&lt;&gt;18),"错误",IF(LEN(N39)=15,DATE(MID(N39,7,2),MID(N39,9,2),MID(N39,11,2)),DATE(MID(N39,7,4),MID(N39,11,2),MID(N39,13,2)))))</f>
        <v>34079</v>
      </c>
      <c r="Q39" s="129">
        <f ca="1">IF(N39="","",IF(AND(LEN(N39)&lt;&gt;15,LEN(N39)&lt;&gt;18),"错误",ROUNDDOWN((NOW()-P39)/365,0)))</f>
        <v>32</v>
      </c>
      <c r="R39" s="155"/>
      <c r="S39" s="125"/>
      <c r="T39" s="125"/>
      <c r="U39" s="125"/>
      <c r="V39" s="125"/>
      <c r="W39" s="125"/>
      <c r="X39" s="125" t="s">
        <v>808</v>
      </c>
      <c r="Y39" s="125" t="s">
        <v>823</v>
      </c>
      <c r="Z39" s="125" t="s">
        <v>824</v>
      </c>
      <c r="AA39" s="156"/>
      <c r="AB39" s="129">
        <v>18810311452</v>
      </c>
      <c r="AC39" s="157"/>
      <c r="AD39" s="136"/>
      <c r="AE39" s="136" t="s">
        <v>983</v>
      </c>
      <c r="AF39" s="136" t="s">
        <v>984</v>
      </c>
      <c r="AG39" s="136"/>
      <c r="AH39" s="157">
        <v>13896582969</v>
      </c>
      <c r="AI39" s="136"/>
      <c r="AJ39" s="136"/>
      <c r="AK39" s="136"/>
      <c r="AL39" s="128"/>
      <c r="AM39" s="128"/>
      <c r="AN39" s="129"/>
      <c r="AO39" s="136"/>
      <c r="AP39" s="125"/>
      <c r="AQ39" s="126"/>
      <c r="AR39" s="89"/>
    </row>
    <row r="40" s="87" customFormat="1" customHeight="1" spans="1:44">
      <c r="A40" s="122">
        <v>39</v>
      </c>
      <c r="B40" s="126">
        <v>42065</v>
      </c>
      <c r="C40" s="125"/>
      <c r="D40" s="125"/>
      <c r="E40" s="125"/>
      <c r="F40" s="127" t="s">
        <v>985</v>
      </c>
      <c r="G40" s="125"/>
      <c r="H40" s="125" t="s">
        <v>843</v>
      </c>
      <c r="I40" s="125" t="s">
        <v>27</v>
      </c>
      <c r="J40" s="123" t="s">
        <v>803</v>
      </c>
      <c r="K40" s="125"/>
      <c r="L40" s="126">
        <v>41863</v>
      </c>
      <c r="M40" s="125" t="s">
        <v>986</v>
      </c>
      <c r="N40" s="127" t="s">
        <v>987</v>
      </c>
      <c r="O40" s="125" t="s">
        <v>782</v>
      </c>
      <c r="P40" s="128">
        <v>34197</v>
      </c>
      <c r="Q40" s="129">
        <v>21</v>
      </c>
      <c r="R40" s="155"/>
      <c r="S40" s="125"/>
      <c r="T40" s="125"/>
      <c r="U40" s="125"/>
      <c r="V40" s="125"/>
      <c r="W40" s="125"/>
      <c r="X40" s="125" t="s">
        <v>808</v>
      </c>
      <c r="Y40" s="125" t="s">
        <v>823</v>
      </c>
      <c r="Z40" s="125" t="s">
        <v>824</v>
      </c>
      <c r="AA40" s="156"/>
      <c r="AB40" s="176">
        <v>18600162746</v>
      </c>
      <c r="AC40" s="177"/>
      <c r="AD40" s="178" t="s">
        <v>988</v>
      </c>
      <c r="AE40" s="136" t="s">
        <v>989</v>
      </c>
      <c r="AF40" s="136" t="s">
        <v>990</v>
      </c>
      <c r="AG40" s="136"/>
      <c r="AH40" s="157">
        <v>13943539399</v>
      </c>
      <c r="AI40" s="136"/>
      <c r="AJ40" s="136"/>
      <c r="AK40" s="136"/>
      <c r="AL40" s="128"/>
      <c r="AM40" s="128"/>
      <c r="AN40" s="129"/>
      <c r="AO40" s="136"/>
      <c r="AP40" s="125"/>
      <c r="AQ40" s="126"/>
      <c r="AR40" s="89"/>
    </row>
    <row r="41" s="87" customFormat="1" customHeight="1" spans="1:44">
      <c r="A41" s="122">
        <v>40</v>
      </c>
      <c r="B41" s="126">
        <v>42086</v>
      </c>
      <c r="C41" s="125"/>
      <c r="D41" s="125"/>
      <c r="E41" s="125"/>
      <c r="F41" s="127" t="s">
        <v>991</v>
      </c>
      <c r="G41" s="125"/>
      <c r="H41" s="125" t="s">
        <v>801</v>
      </c>
      <c r="I41" s="125" t="s">
        <v>27</v>
      </c>
      <c r="J41" s="123" t="s">
        <v>803</v>
      </c>
      <c r="K41" s="125"/>
      <c r="L41" s="154">
        <v>41491</v>
      </c>
      <c r="M41" s="125" t="str">
        <f ca="1">IF(L41="","",DATEDIF(L41,NOW(),"Y")&amp;"年"&amp;MOD(DATEDIF(L41,NOW(),"M"),12)&amp;"个月")</f>
        <v>12年5个月</v>
      </c>
      <c r="N41" s="127" t="s">
        <v>992</v>
      </c>
      <c r="O41" s="125" t="str">
        <f>IF(N41="","",IF(AND(LEN(N41)&lt;&gt;15,LEN(N41)&lt;&gt;18),"错误",IF(MOD(IF(LEN(N41)=15,MID(N41,15,1),MID(N41,17,1)),2)=1,"男","女")))</f>
        <v>男</v>
      </c>
      <c r="P41" s="128">
        <f>IF(N41="","",IF(AND(LEN(N41)&lt;&gt;15,LEN(N41)&lt;&gt;18),"错误",IF(LEN(N41)=15,DATE(MID(N41,7,2),MID(N41,9,2),MID(N41,11,2)),DATE(MID(N41,7,4),MID(N41,11,2),MID(N41,13,2)))))</f>
        <v>34102</v>
      </c>
      <c r="Q41" s="129">
        <f ca="1">IF(N41="","",IF(AND(LEN(N41)&lt;&gt;15,LEN(N41)&lt;&gt;18),"错误",ROUNDDOWN((NOW()-P41)/365,0)))</f>
        <v>32</v>
      </c>
      <c r="R41" s="155"/>
      <c r="S41" s="125"/>
      <c r="T41" s="125"/>
      <c r="U41" s="125"/>
      <c r="V41" s="125"/>
      <c r="W41" s="125"/>
      <c r="X41" s="125" t="s">
        <v>808</v>
      </c>
      <c r="Y41" s="125" t="s">
        <v>993</v>
      </c>
      <c r="Z41" s="125"/>
      <c r="AA41" s="156"/>
      <c r="AB41" s="129">
        <v>13512221946</v>
      </c>
      <c r="AC41" s="157"/>
      <c r="AD41" s="136"/>
      <c r="AE41" s="136" t="s">
        <v>994</v>
      </c>
      <c r="AF41" s="136" t="s">
        <v>995</v>
      </c>
      <c r="AG41" s="136"/>
      <c r="AH41" s="157">
        <v>13974816125</v>
      </c>
      <c r="AI41" s="136"/>
      <c r="AJ41" s="136"/>
      <c r="AK41" s="136"/>
      <c r="AL41" s="128"/>
      <c r="AM41" s="128"/>
      <c r="AN41" s="129"/>
      <c r="AO41" s="136"/>
      <c r="AP41" s="125"/>
      <c r="AQ41" s="126"/>
      <c r="AR41" s="89"/>
    </row>
    <row r="42" s="87" customFormat="1" customHeight="1" spans="1:44">
      <c r="A42" s="122">
        <v>41</v>
      </c>
      <c r="B42" s="126">
        <v>42089</v>
      </c>
      <c r="C42" s="125"/>
      <c r="D42" s="123" t="s">
        <v>996</v>
      </c>
      <c r="E42" s="123" t="s">
        <v>997</v>
      </c>
      <c r="F42" s="127" t="s">
        <v>998</v>
      </c>
      <c r="G42" s="123"/>
      <c r="H42" s="125" t="s">
        <v>999</v>
      </c>
      <c r="I42" s="125" t="s">
        <v>27</v>
      </c>
      <c r="J42" s="128" t="s">
        <v>803</v>
      </c>
      <c r="K42" s="123"/>
      <c r="L42" s="126">
        <v>42088</v>
      </c>
      <c r="M42" s="125" t="s">
        <v>780</v>
      </c>
      <c r="N42" s="127" t="s">
        <v>1000</v>
      </c>
      <c r="O42" s="125" t="s">
        <v>782</v>
      </c>
      <c r="P42" s="128">
        <v>33899</v>
      </c>
      <c r="Q42" s="129">
        <v>22</v>
      </c>
      <c r="R42" s="155" t="s">
        <v>1001</v>
      </c>
      <c r="S42" s="125" t="s">
        <v>785</v>
      </c>
      <c r="T42" s="125" t="s">
        <v>1002</v>
      </c>
      <c r="U42" s="125" t="s">
        <v>1003</v>
      </c>
      <c r="V42" s="125" t="s">
        <v>1004</v>
      </c>
      <c r="W42" s="125" t="s">
        <v>1005</v>
      </c>
      <c r="X42" s="125" t="s">
        <v>1006</v>
      </c>
      <c r="Y42" s="125" t="s">
        <v>1007</v>
      </c>
      <c r="Z42" s="125" t="s">
        <v>1008</v>
      </c>
      <c r="AA42" s="156">
        <v>42156</v>
      </c>
      <c r="AB42" s="176">
        <v>18133625245</v>
      </c>
      <c r="AC42" s="177"/>
      <c r="AD42" s="178" t="s">
        <v>1009</v>
      </c>
      <c r="AE42" s="136" t="s">
        <v>1004</v>
      </c>
      <c r="AF42" s="136" t="s">
        <v>1010</v>
      </c>
      <c r="AG42" s="136" t="s">
        <v>1011</v>
      </c>
      <c r="AH42" s="157" t="s">
        <v>1012</v>
      </c>
      <c r="AI42" s="136"/>
      <c r="AJ42" s="179"/>
      <c r="AK42" s="179"/>
      <c r="AL42" s="135"/>
      <c r="AM42" s="128"/>
      <c r="AN42" s="129"/>
      <c r="AO42" s="180"/>
      <c r="AP42" s="126"/>
      <c r="AQ42" s="126"/>
      <c r="AR42" s="89"/>
    </row>
    <row r="43" s="85" customFormat="1" customHeight="1" spans="1:44">
      <c r="A43" s="122">
        <v>42</v>
      </c>
      <c r="B43" s="142">
        <v>42104</v>
      </c>
      <c r="C43" s="139" t="s">
        <v>1013</v>
      </c>
      <c r="D43" s="148" t="s">
        <v>1014</v>
      </c>
      <c r="E43" s="148" t="s">
        <v>1015</v>
      </c>
      <c r="F43" s="137" t="s">
        <v>1016</v>
      </c>
      <c r="G43" s="148"/>
      <c r="H43" s="137" t="s">
        <v>1017</v>
      </c>
      <c r="I43" s="137" t="s">
        <v>1018</v>
      </c>
      <c r="J43" s="137" t="s">
        <v>803</v>
      </c>
      <c r="K43" s="148"/>
      <c r="L43" s="140">
        <v>42016</v>
      </c>
      <c r="M43" s="139" t="str">
        <f ca="1" t="shared" ref="M43:M77" si="1">IF(L43="","",DATEDIF(L43,NOW(),"Y")&amp;"年"&amp;MOD(DATEDIF(L43,NOW(),"M"),12)&amp;"个月")</f>
        <v>11年0个月</v>
      </c>
      <c r="N43" s="181" t="s">
        <v>1019</v>
      </c>
      <c r="O43" s="139" t="str">
        <f>IF(N43="","",IF(AND(LEN(N43)&lt;&gt;15,LEN(N43)&lt;&gt;18),"错误",IF(MOD(IF(LEN(N43)=15,MID(N43,15,1),MID(N43,17,1)),2)=1,"男","女")))</f>
        <v>男</v>
      </c>
      <c r="P43" s="142">
        <f>IF(N43="","",IF(AND(LEN(N43)&lt;&gt;15,LEN(N43)&lt;&gt;18),"错误",IF(LEN(N43)=15,DATE(MID(N43,7,2),MID(N43,9,2),MID(N43,11,2)),DATE(MID(N43,7,4),MID(N43,11,2),MID(N43,13,2)))))</f>
        <v>30059</v>
      </c>
      <c r="Q43" s="143">
        <f ca="1">IF(N43="","",IF(AND(LEN(N43)&lt;&gt;15,LEN(N43)&lt;&gt;18),"错误",ROUNDDOWN((NOW()-P43)/365,0)))</f>
        <v>43</v>
      </c>
      <c r="R43" s="151" t="s">
        <v>1001</v>
      </c>
      <c r="S43" s="137" t="s">
        <v>879</v>
      </c>
      <c r="T43" s="137" t="s">
        <v>1002</v>
      </c>
      <c r="U43" s="139"/>
      <c r="V43" s="139" t="s">
        <v>1020</v>
      </c>
      <c r="W43" s="137" t="s">
        <v>786</v>
      </c>
      <c r="X43" s="139" t="s">
        <v>1021</v>
      </c>
      <c r="Y43" s="137" t="s">
        <v>1022</v>
      </c>
      <c r="Z43" s="137" t="s">
        <v>1023</v>
      </c>
      <c r="AA43" s="145">
        <v>37438</v>
      </c>
      <c r="AB43" s="122">
        <v>13911737968</v>
      </c>
      <c r="AC43" s="147"/>
      <c r="AD43" s="146"/>
      <c r="AE43" s="146" t="s">
        <v>1024</v>
      </c>
      <c r="AF43" s="146" t="s">
        <v>1025</v>
      </c>
      <c r="AG43" s="146"/>
      <c r="AH43" s="147">
        <v>18610813951</v>
      </c>
      <c r="AI43" s="146"/>
      <c r="AJ43" s="146"/>
      <c r="AK43" s="146"/>
      <c r="AL43" s="142">
        <v>42016</v>
      </c>
      <c r="AM43" s="142">
        <v>42746</v>
      </c>
      <c r="AN43" s="143">
        <f ca="1">ROUND(AM43-NOW(),0)</f>
        <v>-3306</v>
      </c>
      <c r="AO43" s="182"/>
      <c r="AP43" s="148"/>
      <c r="AQ43" s="142"/>
      <c r="AR43" s="88"/>
    </row>
    <row r="44" s="87" customFormat="1" customHeight="1" spans="1:44">
      <c r="A44" s="122">
        <v>43</v>
      </c>
      <c r="B44" s="128">
        <v>42116</v>
      </c>
      <c r="C44" s="125" t="s">
        <v>1026</v>
      </c>
      <c r="D44" s="125" t="s">
        <v>1027</v>
      </c>
      <c r="E44" s="123" t="s">
        <v>997</v>
      </c>
      <c r="F44" s="127" t="s">
        <v>1028</v>
      </c>
      <c r="G44" s="125"/>
      <c r="H44" s="123" t="s">
        <v>1029</v>
      </c>
      <c r="I44" s="125" t="s">
        <v>27</v>
      </c>
      <c r="J44" s="125" t="s">
        <v>803</v>
      </c>
      <c r="K44" s="125"/>
      <c r="L44" s="126">
        <v>41947</v>
      </c>
      <c r="M44" s="125" t="str">
        <f ca="1" t="shared" si="1"/>
        <v>11年2个月</v>
      </c>
      <c r="N44" s="183" t="s">
        <v>1030</v>
      </c>
      <c r="O44" s="125" t="str">
        <f>IF(N44="","",IF(AND(LEN(N44)&lt;&gt;15,LEN(N44)&lt;&gt;18),"错误",IF(MOD(IF(LEN(N44)=15,MID(N44,15,1),MID(N44,17,1)),2)=1,"男","女")))</f>
        <v>女</v>
      </c>
      <c r="P44" s="128">
        <f>IF(N44="","",IF(AND(LEN(N44)&lt;&gt;15,LEN(N44)&lt;&gt;18),"错误",IF(LEN(N44)=15,DATE(MID(N44,7,2),MID(N44,9,2),MID(N44,11,2)),DATE(MID(N44,7,4),MID(N44,11,2),MID(N44,13,2)))))</f>
        <v>34085</v>
      </c>
      <c r="Q44" s="129">
        <f ca="1">IF(N44="","",IF(AND(LEN(N44)&lt;&gt;15,LEN(N44)&lt;&gt;18),"错误",ROUNDDOWN((NOW()-P44)/365,0)))</f>
        <v>32</v>
      </c>
      <c r="R44" s="155"/>
      <c r="S44" s="125"/>
      <c r="T44" s="125"/>
      <c r="U44" s="125"/>
      <c r="V44" s="125"/>
      <c r="W44" s="125"/>
      <c r="X44" s="125" t="s">
        <v>974</v>
      </c>
      <c r="Y44" s="125" t="s">
        <v>1031</v>
      </c>
      <c r="Z44" s="125" t="s">
        <v>807</v>
      </c>
      <c r="AA44" s="156"/>
      <c r="AB44" s="176">
        <v>18600296505</v>
      </c>
      <c r="AC44" s="177"/>
      <c r="AD44" s="178" t="s">
        <v>1032</v>
      </c>
      <c r="AE44" s="136" t="s">
        <v>1033</v>
      </c>
      <c r="AF44" s="136" t="s">
        <v>1034</v>
      </c>
      <c r="AG44" s="136"/>
      <c r="AH44" s="157">
        <v>13974526512</v>
      </c>
      <c r="AI44" s="136" t="s">
        <v>1035</v>
      </c>
      <c r="AJ44" s="136" t="s">
        <v>76</v>
      </c>
      <c r="AK44" s="136"/>
      <c r="AL44" s="128"/>
      <c r="AM44" s="128"/>
      <c r="AN44" s="129"/>
      <c r="AO44" s="179"/>
      <c r="AP44" s="128"/>
      <c r="AQ44" s="128"/>
      <c r="AR44" s="89"/>
    </row>
    <row r="45" s="87" customFormat="1" customHeight="1" spans="1:44">
      <c r="A45" s="122">
        <v>44</v>
      </c>
      <c r="B45" s="128">
        <v>42159</v>
      </c>
      <c r="C45" s="125" t="s">
        <v>1026</v>
      </c>
      <c r="D45" s="125" t="s">
        <v>1036</v>
      </c>
      <c r="E45" s="125" t="s">
        <v>1037</v>
      </c>
      <c r="F45" s="127" t="s">
        <v>1038</v>
      </c>
      <c r="G45" s="125"/>
      <c r="H45" s="123" t="s">
        <v>1039</v>
      </c>
      <c r="I45" s="125" t="s">
        <v>27</v>
      </c>
      <c r="J45" s="125" t="s">
        <v>803</v>
      </c>
      <c r="K45" s="125"/>
      <c r="L45" s="126">
        <v>41953</v>
      </c>
      <c r="M45" s="125" t="str">
        <f ca="1" t="shared" si="1"/>
        <v>11年2个月</v>
      </c>
      <c r="N45" s="183" t="s">
        <v>1040</v>
      </c>
      <c r="O45" s="125" t="str">
        <f>IF(N45="","",IF(AND(LEN(N45)&lt;&gt;15,LEN(N45)&lt;&gt;18),"错误",IF(MOD(IF(LEN(N45)=15,MID(N45,15,1),MID(N45,17,1)),2)=1,"男","女")))</f>
        <v>男</v>
      </c>
      <c r="P45" s="128">
        <f>IF(N45="","",IF(AND(LEN(N45)&lt;&gt;15,LEN(N45)&lt;&gt;18),"错误",IF(LEN(N45)=15,DATE(MID(N45,7,2),MID(N45,9,2),MID(N45,11,2)),DATE(MID(N45,7,4),MID(N45,11,2),MID(N45,13,2)))))</f>
        <v>34364</v>
      </c>
      <c r="Q45" s="129">
        <f ca="1">IF(N45="","",IF(AND(LEN(N45)&lt;&gt;15,LEN(N45)&lt;&gt;18),"错误",ROUNDDOWN((NOW()-P45)/365,0)))</f>
        <v>32</v>
      </c>
      <c r="R45" s="155" t="s">
        <v>1001</v>
      </c>
      <c r="S45" s="125" t="s">
        <v>785</v>
      </c>
      <c r="T45" s="125" t="s">
        <v>1002</v>
      </c>
      <c r="U45" s="125" t="s">
        <v>1041</v>
      </c>
      <c r="V45" s="125" t="s">
        <v>1042</v>
      </c>
      <c r="W45" s="125" t="s">
        <v>786</v>
      </c>
      <c r="X45" s="125" t="s">
        <v>1006</v>
      </c>
      <c r="Y45" s="125" t="s">
        <v>1031</v>
      </c>
      <c r="Z45" s="125" t="s">
        <v>824</v>
      </c>
      <c r="AA45" s="156"/>
      <c r="AB45" s="176">
        <v>15635986068</v>
      </c>
      <c r="AC45" s="177"/>
      <c r="AD45" s="178" t="s">
        <v>1043</v>
      </c>
      <c r="AE45" s="136" t="s">
        <v>1044</v>
      </c>
      <c r="AF45" s="136" t="s">
        <v>1045</v>
      </c>
      <c r="AG45" s="136" t="s">
        <v>1046</v>
      </c>
      <c r="AH45" s="157">
        <v>15535906661</v>
      </c>
      <c r="AI45" s="136" t="s">
        <v>1035</v>
      </c>
      <c r="AJ45" s="136"/>
      <c r="AK45" s="136"/>
      <c r="AL45" s="128"/>
      <c r="AM45" s="128"/>
      <c r="AN45" s="129"/>
      <c r="AO45" s="179"/>
      <c r="AP45" s="128"/>
      <c r="AQ45" s="128"/>
      <c r="AR45" s="89"/>
    </row>
    <row r="46" s="85" customFormat="1" customHeight="1" spans="1:44">
      <c r="A46" s="122">
        <v>45</v>
      </c>
      <c r="B46" s="140">
        <v>42171</v>
      </c>
      <c r="C46" s="139"/>
      <c r="D46" s="139"/>
      <c r="E46" s="139"/>
      <c r="F46" s="141" t="s">
        <v>1047</v>
      </c>
      <c r="G46" s="139"/>
      <c r="H46" s="137" t="s">
        <v>1048</v>
      </c>
      <c r="I46" s="139" t="s">
        <v>1049</v>
      </c>
      <c r="J46" s="139" t="s">
        <v>803</v>
      </c>
      <c r="K46" s="139"/>
      <c r="L46" s="140">
        <v>42121</v>
      </c>
      <c r="M46" s="139" t="str">
        <f ca="1" t="shared" si="1"/>
        <v>10年9个月</v>
      </c>
      <c r="N46" s="181" t="s">
        <v>1050</v>
      </c>
      <c r="O46" s="139" t="s">
        <v>782</v>
      </c>
      <c r="P46" s="142">
        <v>32096</v>
      </c>
      <c r="Q46" s="143">
        <v>27</v>
      </c>
      <c r="R46" s="151" t="s">
        <v>1001</v>
      </c>
      <c r="S46" s="139" t="s">
        <v>879</v>
      </c>
      <c r="T46" s="139" t="s">
        <v>1051</v>
      </c>
      <c r="U46" s="139" t="s">
        <v>1052</v>
      </c>
      <c r="V46" s="139" t="s">
        <v>1053</v>
      </c>
      <c r="W46" s="139" t="s">
        <v>1054</v>
      </c>
      <c r="X46" s="139" t="s">
        <v>1006</v>
      </c>
      <c r="Y46" s="139" t="s">
        <v>1055</v>
      </c>
      <c r="Z46" s="139" t="s">
        <v>1056</v>
      </c>
      <c r="AA46" s="152">
        <v>40695</v>
      </c>
      <c r="AB46" s="184">
        <v>18701317388</v>
      </c>
      <c r="AC46" s="185"/>
      <c r="AD46" s="186" t="s">
        <v>1057</v>
      </c>
      <c r="AE46" s="149" t="s">
        <v>1053</v>
      </c>
      <c r="AF46" s="153" t="s">
        <v>1058</v>
      </c>
      <c r="AG46" s="149" t="s">
        <v>1059</v>
      </c>
      <c r="AH46" s="153">
        <v>18500979074</v>
      </c>
      <c r="AI46" s="149" t="s">
        <v>1060</v>
      </c>
      <c r="AJ46" s="149"/>
      <c r="AK46" s="149"/>
      <c r="AL46" s="140">
        <v>42121</v>
      </c>
      <c r="AM46" s="142">
        <f>EDATE(AL46,36)-1</f>
        <v>43216</v>
      </c>
      <c r="AN46" s="143">
        <f ca="1">ROUND(AM46-NOW(),0)</f>
        <v>-2836</v>
      </c>
      <c r="AO46" s="149"/>
      <c r="AP46" s="139"/>
      <c r="AQ46" s="140"/>
      <c r="AR46" s="88"/>
    </row>
    <row r="47" s="87" customFormat="1" customHeight="1" spans="1:44">
      <c r="A47" s="122">
        <v>46</v>
      </c>
      <c r="B47" s="126">
        <v>42184</v>
      </c>
      <c r="C47" s="125" t="s">
        <v>1026</v>
      </c>
      <c r="D47" s="125"/>
      <c r="E47" s="125"/>
      <c r="F47" s="127" t="s">
        <v>1061</v>
      </c>
      <c r="G47" s="125"/>
      <c r="H47" s="123" t="s">
        <v>1062</v>
      </c>
      <c r="I47" s="125" t="s">
        <v>27</v>
      </c>
      <c r="J47" s="125" t="s">
        <v>803</v>
      </c>
      <c r="K47" s="125"/>
      <c r="L47" s="126">
        <v>42067</v>
      </c>
      <c r="M47" s="125" t="str">
        <f ca="1" t="shared" si="1"/>
        <v>10年10个月</v>
      </c>
      <c r="N47" s="183" t="s">
        <v>1063</v>
      </c>
      <c r="O47" s="125" t="str">
        <f>IF(N47="","",IF(AND(LEN(N47)&lt;&gt;15,LEN(N47)&lt;&gt;18),"错误",IF(MOD(IF(LEN(N47)=15,MID(N47,15,1),MID(N47,17,1)),2)=1,"男","女")))</f>
        <v>男</v>
      </c>
      <c r="P47" s="128">
        <f>IF(N47="","",IF(AND(LEN(N47)&lt;&gt;15,LEN(N47)&lt;&gt;18),"错误",IF(LEN(N47)=15,DATE(MID(N47,7,2),MID(N47,9,2),MID(N47,11,2)),DATE(MID(N47,7,4),MID(N47,11,2),MID(N47,13,2)))))</f>
        <v>34654</v>
      </c>
      <c r="Q47" s="129">
        <f ca="1">IF(N47="","",IF(AND(LEN(N47)&lt;&gt;15,LEN(N47)&lt;&gt;18),"错误",ROUNDDOWN((NOW()-P47)/365,0)))</f>
        <v>31</v>
      </c>
      <c r="R47" s="155" t="s">
        <v>1064</v>
      </c>
      <c r="S47" s="125" t="s">
        <v>785</v>
      </c>
      <c r="T47" s="125" t="s">
        <v>1002</v>
      </c>
      <c r="U47" s="125"/>
      <c r="V47" s="125" t="s">
        <v>1042</v>
      </c>
      <c r="W47" s="125" t="s">
        <v>786</v>
      </c>
      <c r="X47" s="125" t="s">
        <v>1006</v>
      </c>
      <c r="Y47" s="125" t="s">
        <v>1031</v>
      </c>
      <c r="Z47" s="125" t="s">
        <v>1065</v>
      </c>
      <c r="AA47" s="156">
        <v>42917</v>
      </c>
      <c r="AB47" s="176">
        <v>13120176128</v>
      </c>
      <c r="AC47" s="177"/>
      <c r="AD47" s="178" t="s">
        <v>1066</v>
      </c>
      <c r="AE47" s="136" t="s">
        <v>1067</v>
      </c>
      <c r="AF47" s="157" t="s">
        <v>1068</v>
      </c>
      <c r="AG47" s="136" t="s">
        <v>1011</v>
      </c>
      <c r="AH47" s="157">
        <v>13013728097</v>
      </c>
      <c r="AI47" s="136" t="s">
        <v>1035</v>
      </c>
      <c r="AJ47" s="136" t="s">
        <v>28</v>
      </c>
      <c r="AK47" s="136"/>
      <c r="AL47" s="128"/>
      <c r="AM47" s="128"/>
      <c r="AN47" s="135"/>
      <c r="AO47" s="136"/>
      <c r="AP47" s="125"/>
      <c r="AQ47" s="126"/>
      <c r="AR47" s="89"/>
    </row>
    <row r="48" s="88" customFormat="1" customHeight="1" spans="1:44">
      <c r="A48" s="122">
        <v>47</v>
      </c>
      <c r="B48" s="140">
        <v>42185</v>
      </c>
      <c r="C48" s="139" t="s">
        <v>1026</v>
      </c>
      <c r="D48" s="139"/>
      <c r="E48" s="139"/>
      <c r="F48" s="141" t="s">
        <v>1069</v>
      </c>
      <c r="G48" s="139"/>
      <c r="H48" s="137" t="s">
        <v>1070</v>
      </c>
      <c r="I48" s="139" t="s">
        <v>647</v>
      </c>
      <c r="J48" s="139" t="s">
        <v>1071</v>
      </c>
      <c r="K48" s="139"/>
      <c r="L48" s="140">
        <v>42086</v>
      </c>
      <c r="M48" s="139" t="str">
        <f ca="1" t="shared" si="1"/>
        <v>10年10个月</v>
      </c>
      <c r="N48" s="181" t="s">
        <v>1072</v>
      </c>
      <c r="O48" s="139" t="s">
        <v>794</v>
      </c>
      <c r="P48" s="142">
        <v>33777</v>
      </c>
      <c r="Q48" s="143">
        <v>22</v>
      </c>
      <c r="R48" s="151" t="s">
        <v>1001</v>
      </c>
      <c r="S48" s="139" t="s">
        <v>785</v>
      </c>
      <c r="T48" s="139" t="s">
        <v>1002</v>
      </c>
      <c r="U48" s="139" t="s">
        <v>1073</v>
      </c>
      <c r="V48" s="139" t="s">
        <v>1074</v>
      </c>
      <c r="W48" s="139" t="s">
        <v>1005</v>
      </c>
      <c r="X48" s="139" t="s">
        <v>1021</v>
      </c>
      <c r="Y48" s="139" t="s">
        <v>1075</v>
      </c>
      <c r="Z48" s="139" t="s">
        <v>1076</v>
      </c>
      <c r="AA48" s="152">
        <v>42156</v>
      </c>
      <c r="AB48" s="184">
        <v>15675115440</v>
      </c>
      <c r="AC48" s="185"/>
      <c r="AD48" s="186" t="s">
        <v>1077</v>
      </c>
      <c r="AE48" s="149" t="s">
        <v>1078</v>
      </c>
      <c r="AF48" s="153" t="s">
        <v>1079</v>
      </c>
      <c r="AG48" s="149" t="s">
        <v>1011</v>
      </c>
      <c r="AH48" s="153">
        <v>13329335523</v>
      </c>
      <c r="AI48" s="149" t="s">
        <v>1080</v>
      </c>
      <c r="AJ48" s="149"/>
      <c r="AK48" s="149"/>
      <c r="AL48" s="140">
        <v>42086</v>
      </c>
      <c r="AM48" s="142">
        <v>42816</v>
      </c>
      <c r="AN48" s="148">
        <f ca="1">ROUND(AM48-NOW(),0)</f>
        <v>-3236</v>
      </c>
      <c r="AO48" s="149"/>
      <c r="AP48" s="139"/>
      <c r="AQ48" s="140"/>
    </row>
    <row r="49" s="88" customFormat="1" customHeight="1" spans="1:45">
      <c r="A49" s="122">
        <v>48</v>
      </c>
      <c r="B49" s="140">
        <v>42185</v>
      </c>
      <c r="C49" s="139"/>
      <c r="D49" s="139"/>
      <c r="E49" s="139"/>
      <c r="F49" s="141" t="s">
        <v>1081</v>
      </c>
      <c r="G49" s="139"/>
      <c r="H49" s="141" t="s">
        <v>828</v>
      </c>
      <c r="I49" s="139" t="s">
        <v>829</v>
      </c>
      <c r="J49" s="139" t="s">
        <v>1071</v>
      </c>
      <c r="K49" s="139"/>
      <c r="L49" s="140">
        <v>42097</v>
      </c>
      <c r="M49" s="139" t="str">
        <f ca="1" t="shared" si="1"/>
        <v>10年9个月</v>
      </c>
      <c r="N49" s="181" t="s">
        <v>1082</v>
      </c>
      <c r="O49" s="139" t="s">
        <v>794</v>
      </c>
      <c r="P49" s="142">
        <v>34940</v>
      </c>
      <c r="Q49" s="143">
        <v>19</v>
      </c>
      <c r="R49" s="139" t="s">
        <v>1001</v>
      </c>
      <c r="S49" s="139" t="s">
        <v>785</v>
      </c>
      <c r="T49" s="139" t="s">
        <v>1002</v>
      </c>
      <c r="U49" s="139" t="s">
        <v>1083</v>
      </c>
      <c r="V49" s="139" t="s">
        <v>1083</v>
      </c>
      <c r="W49" s="139" t="s">
        <v>1005</v>
      </c>
      <c r="X49" s="139" t="s">
        <v>1084</v>
      </c>
      <c r="Y49" s="139" t="s">
        <v>1085</v>
      </c>
      <c r="Z49" s="139"/>
      <c r="AA49" s="139"/>
      <c r="AB49" s="184">
        <v>18715982029</v>
      </c>
      <c r="AC49" s="185"/>
      <c r="AD49" s="186" t="s">
        <v>1086</v>
      </c>
      <c r="AE49" s="149" t="s">
        <v>1083</v>
      </c>
      <c r="AF49" s="153"/>
      <c r="AG49" s="149"/>
      <c r="AH49" s="153"/>
      <c r="AI49" s="149" t="s">
        <v>1087</v>
      </c>
      <c r="AJ49" s="149"/>
      <c r="AK49" s="149"/>
      <c r="AL49" s="142">
        <f>L49</f>
        <v>42097</v>
      </c>
      <c r="AM49" s="142">
        <f>EDATE(AL49,12)-1</f>
        <v>42462</v>
      </c>
      <c r="AN49" s="148">
        <f ca="1">ROUND(AM49-NOW(),0)</f>
        <v>-3590</v>
      </c>
      <c r="AO49" s="149"/>
      <c r="AP49" s="139"/>
      <c r="AQ49" s="140"/>
    </row>
    <row r="50" s="88" customFormat="1" customHeight="1" spans="1:45">
      <c r="A50" s="122">
        <v>49</v>
      </c>
      <c r="B50" s="140">
        <v>42185</v>
      </c>
      <c r="C50" s="139"/>
      <c r="D50" s="139"/>
      <c r="E50" s="139"/>
      <c r="F50" s="141" t="s">
        <v>1088</v>
      </c>
      <c r="G50" s="139"/>
      <c r="H50" s="141" t="s">
        <v>828</v>
      </c>
      <c r="I50" s="139" t="s">
        <v>829</v>
      </c>
      <c r="J50" s="139" t="s">
        <v>1071</v>
      </c>
      <c r="K50" s="139"/>
      <c r="L50" s="140">
        <v>42107</v>
      </c>
      <c r="M50" s="139" t="str">
        <f ca="1" t="shared" si="1"/>
        <v>10年9个月</v>
      </c>
      <c r="N50" s="181" t="s">
        <v>1089</v>
      </c>
      <c r="O50" s="139" t="s">
        <v>782</v>
      </c>
      <c r="P50" s="142">
        <v>33478</v>
      </c>
      <c r="Q50" s="143">
        <v>23</v>
      </c>
      <c r="R50" s="139" t="s">
        <v>1001</v>
      </c>
      <c r="S50" s="139" t="s">
        <v>785</v>
      </c>
      <c r="T50" s="139" t="s">
        <v>1002</v>
      </c>
      <c r="U50" s="139" t="s">
        <v>1090</v>
      </c>
      <c r="V50" s="139" t="s">
        <v>1091</v>
      </c>
      <c r="W50" s="139" t="s">
        <v>1054</v>
      </c>
      <c r="X50" s="139" t="s">
        <v>1084</v>
      </c>
      <c r="Y50" s="139" t="s">
        <v>1092</v>
      </c>
      <c r="Z50" s="139" t="s">
        <v>1093</v>
      </c>
      <c r="AA50" s="152">
        <v>39995</v>
      </c>
      <c r="AB50" s="184">
        <v>18310499879</v>
      </c>
      <c r="AC50" s="185"/>
      <c r="AD50" s="186" t="s">
        <v>1094</v>
      </c>
      <c r="AE50" s="149" t="s">
        <v>1095</v>
      </c>
      <c r="AF50" s="153" t="s">
        <v>1096</v>
      </c>
      <c r="AG50" s="149" t="s">
        <v>1097</v>
      </c>
      <c r="AH50" s="153">
        <v>15718826322</v>
      </c>
      <c r="AI50" s="149" t="s">
        <v>1060</v>
      </c>
      <c r="AJ50" s="149"/>
      <c r="AK50" s="149"/>
      <c r="AL50" s="142">
        <f>L50</f>
        <v>42107</v>
      </c>
      <c r="AM50" s="142">
        <f>EDATE(AL50,12)-1</f>
        <v>42472</v>
      </c>
      <c r="AN50" s="148">
        <f ca="1">ROUND(AM50-NOW(),0)</f>
        <v>-3580</v>
      </c>
      <c r="AO50" s="149"/>
      <c r="AP50" s="139"/>
      <c r="AQ50" s="140"/>
    </row>
    <row r="51" s="89" customFormat="1" customHeight="1" spans="1:45">
      <c r="A51" s="122">
        <v>50</v>
      </c>
      <c r="B51" s="126">
        <v>42192</v>
      </c>
      <c r="C51" s="125" t="s">
        <v>1026</v>
      </c>
      <c r="D51" s="125" t="s">
        <v>1098</v>
      </c>
      <c r="E51" s="123" t="s">
        <v>997</v>
      </c>
      <c r="F51" s="127" t="s">
        <v>1099</v>
      </c>
      <c r="G51" s="125"/>
      <c r="H51" s="123" t="s">
        <v>999</v>
      </c>
      <c r="I51" s="125" t="s">
        <v>27</v>
      </c>
      <c r="J51" s="125" t="s">
        <v>803</v>
      </c>
      <c r="K51" s="125"/>
      <c r="L51" s="126">
        <v>41946</v>
      </c>
      <c r="M51" s="125" t="str">
        <f ca="1" t="shared" si="1"/>
        <v>11年2个月</v>
      </c>
      <c r="N51" s="183" t="s">
        <v>1100</v>
      </c>
      <c r="O51" s="125" t="str">
        <f>IF(N51="","",IF(AND(LEN(N51)&lt;&gt;15,LEN(N51)&lt;&gt;18),"错误",IF(MOD(IF(LEN(N51)=15,MID(N51,15,1),MID(N51,17,1)),2)=1,"男","女")))</f>
        <v>男</v>
      </c>
      <c r="P51" s="128">
        <f>IF(N51="","",IF(AND(LEN(N51)&lt;&gt;15,LEN(N51)&lt;&gt;18),"错误",IF(LEN(N51)=15,DATE(MID(N51,7,2),MID(N51,9,2),MID(N51,11,2)),DATE(MID(N51,7,4),MID(N51,11,2),MID(N51,13,2)))))</f>
        <v>35297</v>
      </c>
      <c r="Q51" s="129">
        <f ca="1">IF(N51="","",IF(AND(LEN(N51)&lt;&gt;15,LEN(N51)&lt;&gt;18),"错误",ROUNDDOWN((NOW()-P51)/365,0)))</f>
        <v>29</v>
      </c>
      <c r="R51" s="155" t="s">
        <v>1001</v>
      </c>
      <c r="S51" s="125" t="s">
        <v>785</v>
      </c>
      <c r="T51" s="125" t="s">
        <v>1002</v>
      </c>
      <c r="U51" s="125" t="s">
        <v>1101</v>
      </c>
      <c r="V51" s="125" t="s">
        <v>1031</v>
      </c>
      <c r="W51" s="125" t="s">
        <v>786</v>
      </c>
      <c r="X51" s="125" t="s">
        <v>1006</v>
      </c>
      <c r="Y51" s="125" t="s">
        <v>1031</v>
      </c>
      <c r="Z51" s="125" t="s">
        <v>824</v>
      </c>
      <c r="AA51" s="156"/>
      <c r="AB51" s="176">
        <v>17801050054</v>
      </c>
      <c r="AC51" s="177"/>
      <c r="AD51" s="178" t="s">
        <v>1102</v>
      </c>
      <c r="AE51" s="136" t="s">
        <v>1044</v>
      </c>
      <c r="AF51" s="157" t="s">
        <v>1103</v>
      </c>
      <c r="AG51" s="136"/>
      <c r="AH51" s="157">
        <v>18284072968</v>
      </c>
      <c r="AI51" s="136" t="s">
        <v>1035</v>
      </c>
      <c r="AJ51" s="136"/>
      <c r="AK51" s="136"/>
      <c r="AL51" s="128"/>
      <c r="AM51" s="128"/>
      <c r="AN51" s="135"/>
      <c r="AO51" s="136"/>
      <c r="AP51" s="125"/>
      <c r="AQ51" s="126"/>
    </row>
    <row r="52" s="89" customFormat="1" customHeight="1" spans="1:45">
      <c r="A52" s="122">
        <v>51</v>
      </c>
      <c r="B52" s="126">
        <v>42195</v>
      </c>
      <c r="C52" s="125" t="s">
        <v>1026</v>
      </c>
      <c r="D52" s="125"/>
      <c r="E52" s="125"/>
      <c r="F52" s="127" t="s">
        <v>1104</v>
      </c>
      <c r="G52" s="125"/>
      <c r="H52" s="123" t="s">
        <v>1105</v>
      </c>
      <c r="I52" s="125" t="s">
        <v>27</v>
      </c>
      <c r="J52" s="125" t="s">
        <v>803</v>
      </c>
      <c r="K52" s="125"/>
      <c r="L52" s="126">
        <v>42101</v>
      </c>
      <c r="M52" s="125" t="str">
        <f ca="1" t="shared" si="1"/>
        <v>10年9个月</v>
      </c>
      <c r="N52" s="183" t="s">
        <v>1106</v>
      </c>
      <c r="O52" s="125" t="s">
        <v>782</v>
      </c>
      <c r="P52" s="128">
        <v>33804</v>
      </c>
      <c r="Q52" s="129">
        <v>22</v>
      </c>
      <c r="R52" s="155" t="s">
        <v>1001</v>
      </c>
      <c r="S52" s="125" t="s">
        <v>785</v>
      </c>
      <c r="T52" s="125" t="s">
        <v>1002</v>
      </c>
      <c r="U52" s="125" t="s">
        <v>1107</v>
      </c>
      <c r="V52" s="125" t="s">
        <v>1108</v>
      </c>
      <c r="W52" s="125" t="s">
        <v>1005</v>
      </c>
      <c r="X52" s="125" t="s">
        <v>1006</v>
      </c>
      <c r="Y52" s="125" t="s">
        <v>1109</v>
      </c>
      <c r="Z52" s="125" t="s">
        <v>1110</v>
      </c>
      <c r="AA52" s="156">
        <v>41791</v>
      </c>
      <c r="AB52" s="176">
        <v>18600003324</v>
      </c>
      <c r="AC52" s="177"/>
      <c r="AD52" s="178" t="s">
        <v>1111</v>
      </c>
      <c r="AE52" s="136" t="s">
        <v>1108</v>
      </c>
      <c r="AF52" s="157" t="s">
        <v>1112</v>
      </c>
      <c r="AG52" s="136" t="s">
        <v>1046</v>
      </c>
      <c r="AH52" s="157">
        <v>13973188543</v>
      </c>
      <c r="AI52" s="136" t="s">
        <v>1113</v>
      </c>
      <c r="AJ52" s="136"/>
      <c r="AK52" s="136"/>
      <c r="AL52" s="126"/>
      <c r="AM52" s="128"/>
      <c r="AN52" s="135"/>
      <c r="AO52" s="136"/>
      <c r="AP52" s="125"/>
      <c r="AQ52" s="126"/>
    </row>
    <row r="53" s="88" customFormat="1" customHeight="1" spans="1:45">
      <c r="A53" s="122">
        <v>52</v>
      </c>
      <c r="B53" s="140">
        <v>42200</v>
      </c>
      <c r="C53" s="139" t="s">
        <v>1026</v>
      </c>
      <c r="D53" s="137" t="s">
        <v>1114</v>
      </c>
      <c r="E53" s="137" t="s">
        <v>1115</v>
      </c>
      <c r="F53" s="137" t="s">
        <v>1116</v>
      </c>
      <c r="G53" s="137"/>
      <c r="H53" s="137" t="s">
        <v>1117</v>
      </c>
      <c r="I53" s="137" t="s">
        <v>208</v>
      </c>
      <c r="J53" s="137" t="s">
        <v>803</v>
      </c>
      <c r="K53" s="137"/>
      <c r="L53" s="140">
        <v>41708</v>
      </c>
      <c r="M53" s="139" t="str">
        <f ca="1" t="shared" si="1"/>
        <v>11年10个月</v>
      </c>
      <c r="N53" s="181" t="s">
        <v>1118</v>
      </c>
      <c r="O53" s="139" t="str">
        <f>IF(N53="","",IF(AND(LEN(N53)&lt;&gt;15,LEN(N53)&lt;&gt;18),"错误",IF(MOD(IF(LEN(N53)=15,MID(N53,15,1),MID(N53,17,1)),2)=1,"男","女")))</f>
        <v>男</v>
      </c>
      <c r="P53" s="142">
        <f>IF(N53="","",IF(AND(LEN(N53)&lt;&gt;15,LEN(N53)&lt;&gt;18),"错误",IF(LEN(N53)=15,DATE(MID(N53,7,2),MID(N53,9,2),MID(N53,11,2)),DATE(MID(N53,7,4),MID(N53,11,2),MID(N53,13,2)))))</f>
        <v>33070</v>
      </c>
      <c r="Q53" s="143">
        <f ca="1">IF(N53="","",IF(AND(LEN(N53)&lt;&gt;15,LEN(N53)&lt;&gt;18),"错误",ROUNDDOWN((NOW()-P53)/365,0)))</f>
        <v>35</v>
      </c>
      <c r="R53" s="151" t="s">
        <v>1001</v>
      </c>
      <c r="S53" s="137" t="s">
        <v>785</v>
      </c>
      <c r="T53" s="137" t="s">
        <v>1002</v>
      </c>
      <c r="U53" s="139" t="s">
        <v>1119</v>
      </c>
      <c r="V53" s="139" t="s">
        <v>1120</v>
      </c>
      <c r="W53" s="137" t="s">
        <v>786</v>
      </c>
      <c r="X53" s="137" t="s">
        <v>974</v>
      </c>
      <c r="Y53" s="137" t="s">
        <v>1121</v>
      </c>
      <c r="Z53" s="137" t="s">
        <v>886</v>
      </c>
      <c r="AA53" s="145"/>
      <c r="AB53" s="122">
        <v>18679820831</v>
      </c>
      <c r="AC53" s="147"/>
      <c r="AD53" s="186" t="s">
        <v>1122</v>
      </c>
      <c r="AE53" s="146" t="s">
        <v>1123</v>
      </c>
      <c r="AF53" s="147" t="s">
        <v>1124</v>
      </c>
      <c r="AG53" s="146" t="s">
        <v>1125</v>
      </c>
      <c r="AH53" s="147">
        <v>15926245814</v>
      </c>
      <c r="AI53" s="146" t="s">
        <v>1035</v>
      </c>
      <c r="AJ53" s="146" t="s">
        <v>43</v>
      </c>
      <c r="AK53" s="146"/>
      <c r="AL53" s="142">
        <v>41708</v>
      </c>
      <c r="AM53" s="142">
        <v>42438</v>
      </c>
      <c r="AN53" s="148">
        <f ca="1">ROUND(AM53-NOW(),0)</f>
        <v>-3614</v>
      </c>
      <c r="AO53" s="149"/>
      <c r="AP53" s="139"/>
      <c r="AQ53" s="140"/>
    </row>
    <row r="54" s="89" customFormat="1" customHeight="1" spans="1:45">
      <c r="A54" s="122">
        <v>53</v>
      </c>
      <c r="B54" s="126">
        <v>42214</v>
      </c>
      <c r="C54" s="125" t="s">
        <v>1013</v>
      </c>
      <c r="D54" s="125" t="s">
        <v>1126</v>
      </c>
      <c r="E54" s="125" t="s">
        <v>1127</v>
      </c>
      <c r="F54" s="127" t="s">
        <v>1128</v>
      </c>
      <c r="G54" s="125"/>
      <c r="H54" s="123" t="s">
        <v>1129</v>
      </c>
      <c r="I54" s="125" t="s">
        <v>27</v>
      </c>
      <c r="J54" s="125" t="s">
        <v>803</v>
      </c>
      <c r="K54" s="125"/>
      <c r="L54" s="126">
        <v>42149</v>
      </c>
      <c r="M54" s="125" t="str">
        <f ca="1" t="shared" si="1"/>
        <v>10年8个月</v>
      </c>
      <c r="N54" s="183" t="s">
        <v>1130</v>
      </c>
      <c r="O54" s="125" t="s">
        <v>782</v>
      </c>
      <c r="P54" s="128">
        <v>33903</v>
      </c>
      <c r="Q54" s="129">
        <v>22</v>
      </c>
      <c r="R54" s="155" t="s">
        <v>1001</v>
      </c>
      <c r="S54" s="125" t="s">
        <v>785</v>
      </c>
      <c r="T54" s="125" t="s">
        <v>1131</v>
      </c>
      <c r="U54" s="125" t="s">
        <v>1132</v>
      </c>
      <c r="V54" s="125" t="s">
        <v>810</v>
      </c>
      <c r="W54" s="125" t="s">
        <v>1133</v>
      </c>
      <c r="X54" s="125" t="s">
        <v>1006</v>
      </c>
      <c r="Y54" s="125" t="s">
        <v>1031</v>
      </c>
      <c r="Z54" s="125" t="s">
        <v>807</v>
      </c>
      <c r="AA54" s="156">
        <v>42186</v>
      </c>
      <c r="AB54" s="176">
        <v>15201521278</v>
      </c>
      <c r="AC54" s="177"/>
      <c r="AD54" s="178" t="s">
        <v>1134</v>
      </c>
      <c r="AE54" s="136" t="s">
        <v>1135</v>
      </c>
      <c r="AF54" s="157" t="s">
        <v>1136</v>
      </c>
      <c r="AG54" s="136" t="s">
        <v>1137</v>
      </c>
      <c r="AH54" s="157">
        <v>13341023729</v>
      </c>
      <c r="AI54" s="136" t="s">
        <v>1080</v>
      </c>
      <c r="AJ54" s="136"/>
      <c r="AK54" s="136"/>
      <c r="AL54" s="126"/>
      <c r="AM54" s="128"/>
      <c r="AN54" s="135"/>
      <c r="AO54" s="136"/>
      <c r="AP54" s="125"/>
      <c r="AQ54" s="126"/>
    </row>
    <row r="55" s="90" customFormat="1" customHeight="1" spans="1:45">
      <c r="A55" s="122">
        <v>54</v>
      </c>
      <c r="B55" s="170">
        <v>42215</v>
      </c>
      <c r="C55" s="160" t="s">
        <v>1026</v>
      </c>
      <c r="D55" s="160" t="s">
        <v>1138</v>
      </c>
      <c r="E55" s="123" t="s">
        <v>997</v>
      </c>
      <c r="F55" s="161" t="s">
        <v>1139</v>
      </c>
      <c r="G55" s="160"/>
      <c r="H55" s="158" t="s">
        <v>1129</v>
      </c>
      <c r="I55" s="160" t="s">
        <v>27</v>
      </c>
      <c r="J55" s="160" t="s">
        <v>803</v>
      </c>
      <c r="K55" s="160"/>
      <c r="L55" s="170">
        <v>41922</v>
      </c>
      <c r="M55" s="160" t="str">
        <f ca="1" t="shared" si="1"/>
        <v>11年3个月</v>
      </c>
      <c r="N55" s="187" t="s">
        <v>1140</v>
      </c>
      <c r="O55" s="160" t="str">
        <f>IF(N55="","",IF(AND(LEN(N55)&lt;&gt;15,LEN(N55)&lt;&gt;18),"错误",IF(MOD(IF(LEN(N55)=15,MID(N55,15,1),MID(N55,17,1)),2)=1,"男","女")))</f>
        <v>男</v>
      </c>
      <c r="P55" s="163">
        <f>IF(N55="","",IF(AND(LEN(N55)&lt;&gt;15,LEN(N55)&lt;&gt;18),"错误",IF(LEN(N55)=15,DATE(MID(N55,7,2),MID(N55,9,2),MID(N55,11,2)),DATE(MID(N55,7,4),MID(N55,11,2),MID(N55,13,2)))))</f>
        <v>34079</v>
      </c>
      <c r="Q55" s="164">
        <f ca="1">IF(N55="","",IF(AND(LEN(N55)&lt;&gt;15,LEN(N55)&lt;&gt;18),"错误",ROUNDDOWN((NOW()-P55)/365,0)))</f>
        <v>32</v>
      </c>
      <c r="R55" s="165" t="s">
        <v>1001</v>
      </c>
      <c r="S55" s="160" t="s">
        <v>785</v>
      </c>
      <c r="T55" s="160" t="s">
        <v>1002</v>
      </c>
      <c r="U55" s="160" t="s">
        <v>1141</v>
      </c>
      <c r="V55" s="160" t="s">
        <v>21</v>
      </c>
      <c r="W55" s="160" t="s">
        <v>786</v>
      </c>
      <c r="X55" s="160" t="s">
        <v>1006</v>
      </c>
      <c r="Y55" s="160" t="s">
        <v>1031</v>
      </c>
      <c r="Z55" s="160" t="s">
        <v>824</v>
      </c>
      <c r="AA55" s="166">
        <v>42186</v>
      </c>
      <c r="AB55" s="171">
        <v>18810311351</v>
      </c>
      <c r="AC55" s="188"/>
      <c r="AD55" s="172" t="s">
        <v>1142</v>
      </c>
      <c r="AE55" s="167" t="s">
        <v>1143</v>
      </c>
      <c r="AF55" s="168" t="s">
        <v>1144</v>
      </c>
      <c r="AG55" s="167" t="s">
        <v>1137</v>
      </c>
      <c r="AH55" s="168">
        <v>13955256001</v>
      </c>
      <c r="AI55" s="167" t="s">
        <v>1035</v>
      </c>
      <c r="AJ55" s="167"/>
      <c r="AK55" s="167"/>
      <c r="AL55" s="163"/>
      <c r="AM55" s="163"/>
      <c r="AN55" s="174"/>
      <c r="AO55" s="167"/>
      <c r="AP55" s="160"/>
      <c r="AQ55" s="170"/>
    </row>
    <row r="56" s="88" customFormat="1" customHeight="1" spans="1:45">
      <c r="A56" s="122">
        <v>55</v>
      </c>
      <c r="B56" s="140">
        <v>42216</v>
      </c>
      <c r="C56" s="139" t="s">
        <v>1013</v>
      </c>
      <c r="D56" s="137"/>
      <c r="E56" s="137"/>
      <c r="F56" s="141" t="s">
        <v>1145</v>
      </c>
      <c r="G56" s="137"/>
      <c r="H56" s="137" t="s">
        <v>1146</v>
      </c>
      <c r="I56" s="137" t="s">
        <v>208</v>
      </c>
      <c r="J56" s="137" t="s">
        <v>803</v>
      </c>
      <c r="K56" s="137"/>
      <c r="L56" s="140">
        <v>41555</v>
      </c>
      <c r="M56" s="139" t="str">
        <f ca="1" t="shared" si="1"/>
        <v>12年3个月</v>
      </c>
      <c r="N56" s="181" t="s">
        <v>1147</v>
      </c>
      <c r="O56" s="139" t="str">
        <f>IF(N56="","",IF(AND(LEN(N56)&lt;&gt;15,LEN(N56)&lt;&gt;18),"错误",IF(MOD(IF(LEN(N56)=15,MID(N56,15,1),MID(N56,17,1)),2)=1,"男","女")))</f>
        <v>男</v>
      </c>
      <c r="P56" s="142">
        <f>IF(N56="","",IF(AND(LEN(N56)&lt;&gt;15,LEN(N56)&lt;&gt;18),"错误",IF(LEN(N56)=15,DATE(MID(N56,7,2),MID(N56,9,2),MID(N56,11,2)),DATE(MID(N56,7,4),MID(N56,11,2),MID(N56,13,2)))))</f>
        <v>30851</v>
      </c>
      <c r="Q56" s="143">
        <f ca="1">IF(N56="","",IF(AND(LEN(N56)&lt;&gt;15,LEN(N56)&lt;&gt;18),"错误",ROUNDDOWN((NOW()-P56)/365,0)))</f>
        <v>41</v>
      </c>
      <c r="R56" s="151" t="s">
        <v>1001</v>
      </c>
      <c r="S56" s="137" t="s">
        <v>879</v>
      </c>
      <c r="T56" s="137" t="s">
        <v>1002</v>
      </c>
      <c r="U56" s="139" t="s">
        <v>1148</v>
      </c>
      <c r="V56" s="139" t="s">
        <v>21</v>
      </c>
      <c r="W56" s="137" t="s">
        <v>786</v>
      </c>
      <c r="X56" s="139" t="s">
        <v>1006</v>
      </c>
      <c r="Y56" s="137" t="s">
        <v>1149</v>
      </c>
      <c r="Z56" s="137" t="s">
        <v>1150</v>
      </c>
      <c r="AA56" s="145"/>
      <c r="AB56" s="122">
        <v>18600574399</v>
      </c>
      <c r="AC56" s="122"/>
      <c r="AD56" s="137" t="s">
        <v>1151</v>
      </c>
      <c r="AE56" s="146" t="s">
        <v>1152</v>
      </c>
      <c r="AF56" s="147" t="s">
        <v>1153</v>
      </c>
      <c r="AG56" s="146" t="s">
        <v>1059</v>
      </c>
      <c r="AH56" s="147">
        <v>18511870363</v>
      </c>
      <c r="AI56" s="146" t="s">
        <v>1080</v>
      </c>
      <c r="AJ56" s="146"/>
      <c r="AK56" s="146"/>
      <c r="AL56" s="142">
        <v>41883</v>
      </c>
      <c r="AM56" s="142">
        <v>42613</v>
      </c>
      <c r="AN56" s="148">
        <f ca="1">ROUND(AM56-NOW(),0)</f>
        <v>-3439</v>
      </c>
      <c r="AO56" s="149" t="s">
        <v>1154</v>
      </c>
      <c r="AP56" s="139"/>
      <c r="AQ56" s="140"/>
    </row>
    <row r="57" s="89" customFormat="1" customHeight="1" spans="1:45">
      <c r="A57" s="122">
        <v>56</v>
      </c>
      <c r="B57" s="126">
        <v>42227</v>
      </c>
      <c r="C57" s="125" t="s">
        <v>1026</v>
      </c>
      <c r="D57" s="125" t="s">
        <v>1155</v>
      </c>
      <c r="E57" s="125"/>
      <c r="F57" s="127" t="s">
        <v>1156</v>
      </c>
      <c r="G57" s="125"/>
      <c r="H57" s="123" t="s">
        <v>1029</v>
      </c>
      <c r="I57" s="125" t="s">
        <v>1157</v>
      </c>
      <c r="J57" s="125" t="s">
        <v>803</v>
      </c>
      <c r="K57" s="125"/>
      <c r="L57" s="126">
        <v>42219</v>
      </c>
      <c r="M57" s="125" t="str">
        <f ca="1" t="shared" si="1"/>
        <v>10年5个月</v>
      </c>
      <c r="N57" s="183" t="s">
        <v>1158</v>
      </c>
      <c r="O57" s="125" t="s">
        <v>782</v>
      </c>
      <c r="P57" s="128">
        <v>31678</v>
      </c>
      <c r="Q57" s="129">
        <v>28</v>
      </c>
      <c r="R57" s="155" t="s">
        <v>1001</v>
      </c>
      <c r="S57" s="125" t="s">
        <v>879</v>
      </c>
      <c r="T57" s="125" t="s">
        <v>1051</v>
      </c>
      <c r="U57" s="125" t="s">
        <v>1159</v>
      </c>
      <c r="V57" s="125" t="s">
        <v>1160</v>
      </c>
      <c r="W57" s="125" t="s">
        <v>1005</v>
      </c>
      <c r="X57" s="125" t="s">
        <v>1161</v>
      </c>
      <c r="Y57" s="125" t="s">
        <v>1162</v>
      </c>
      <c r="Z57" s="125" t="s">
        <v>1163</v>
      </c>
      <c r="AA57" s="156">
        <v>42430</v>
      </c>
      <c r="AB57" s="176">
        <v>18627162590</v>
      </c>
      <c r="AC57" s="176"/>
      <c r="AD57" s="189" t="s">
        <v>1164</v>
      </c>
      <c r="AE57" s="136" t="s">
        <v>1165</v>
      </c>
      <c r="AF57" s="157" t="s">
        <v>1166</v>
      </c>
      <c r="AG57" s="136" t="s">
        <v>1167</v>
      </c>
      <c r="AH57" s="157">
        <v>15927538856</v>
      </c>
      <c r="AI57" s="136" t="s">
        <v>1035</v>
      </c>
      <c r="AJ57" s="136" t="s">
        <v>51</v>
      </c>
      <c r="AK57" s="136"/>
      <c r="AL57" s="126"/>
      <c r="AM57" s="128"/>
      <c r="AN57" s="135"/>
      <c r="AO57" s="136"/>
      <c r="AP57" s="125"/>
      <c r="AQ57" s="190"/>
      <c r="AR57" s="87"/>
    </row>
    <row r="58" s="89" customFormat="1" customHeight="1" spans="1:45">
      <c r="A58" s="122">
        <v>57</v>
      </c>
      <c r="B58" s="126">
        <v>42230</v>
      </c>
      <c r="C58" s="125" t="s">
        <v>1026</v>
      </c>
      <c r="D58" s="125"/>
      <c r="E58" s="125"/>
      <c r="F58" s="127" t="s">
        <v>1168</v>
      </c>
      <c r="G58" s="125"/>
      <c r="H58" s="123" t="s">
        <v>1169</v>
      </c>
      <c r="I58" s="125" t="s">
        <v>1170</v>
      </c>
      <c r="J58" s="125" t="s">
        <v>803</v>
      </c>
      <c r="K58" s="125"/>
      <c r="L58" s="126">
        <v>42198</v>
      </c>
      <c r="M58" s="125" t="str">
        <f ca="1" t="shared" si="1"/>
        <v>10年6个月</v>
      </c>
      <c r="N58" s="183" t="s">
        <v>1171</v>
      </c>
      <c r="O58" s="125" t="s">
        <v>794</v>
      </c>
      <c r="P58" s="128">
        <v>34820</v>
      </c>
      <c r="Q58" s="129">
        <v>20</v>
      </c>
      <c r="R58" s="155" t="s">
        <v>1001</v>
      </c>
      <c r="S58" s="125" t="s">
        <v>785</v>
      </c>
      <c r="T58" s="125" t="s">
        <v>1002</v>
      </c>
      <c r="U58" s="125" t="s">
        <v>1172</v>
      </c>
      <c r="V58" s="125" t="s">
        <v>1173</v>
      </c>
      <c r="W58" s="125" t="s">
        <v>1005</v>
      </c>
      <c r="X58" s="125" t="s">
        <v>1006</v>
      </c>
      <c r="Y58" s="125" t="s">
        <v>1174</v>
      </c>
      <c r="Z58" s="125" t="s">
        <v>1150</v>
      </c>
      <c r="AA58" s="156">
        <v>42887</v>
      </c>
      <c r="AB58" s="176">
        <v>18811321317</v>
      </c>
      <c r="AC58" s="176"/>
      <c r="AD58" s="189" t="s">
        <v>1175</v>
      </c>
      <c r="AE58" s="136" t="s">
        <v>1176</v>
      </c>
      <c r="AF58" s="157" t="s">
        <v>242</v>
      </c>
      <c r="AG58" s="136" t="s">
        <v>1046</v>
      </c>
      <c r="AH58" s="157">
        <v>13780523680</v>
      </c>
      <c r="AI58" s="136" t="s">
        <v>1060</v>
      </c>
      <c r="AJ58" s="136"/>
      <c r="AK58" s="136"/>
      <c r="AL58" s="126"/>
      <c r="AM58" s="128"/>
      <c r="AN58" s="135"/>
      <c r="AO58" s="136"/>
      <c r="AP58" s="125"/>
      <c r="AQ58" s="132"/>
      <c r="AR58" s="87"/>
    </row>
    <row r="59" s="89" customFormat="1" customHeight="1" spans="1:45">
      <c r="A59" s="122">
        <v>58</v>
      </c>
      <c r="B59" s="140">
        <v>42243</v>
      </c>
      <c r="C59" s="139" t="s">
        <v>1026</v>
      </c>
      <c r="D59" s="137"/>
      <c r="E59" s="137"/>
      <c r="F59" s="137" t="s">
        <v>1177</v>
      </c>
      <c r="G59" s="137"/>
      <c r="H59" s="137" t="s">
        <v>1178</v>
      </c>
      <c r="I59" s="137" t="s">
        <v>1049</v>
      </c>
      <c r="J59" s="137" t="s">
        <v>803</v>
      </c>
      <c r="K59" s="137"/>
      <c r="L59" s="140">
        <v>41878</v>
      </c>
      <c r="M59" s="139" t="str">
        <f ca="1" t="shared" si="1"/>
        <v>11年5个月</v>
      </c>
      <c r="N59" s="181" t="s">
        <v>1179</v>
      </c>
      <c r="O59" s="139" t="str">
        <f>IF(N59="","",IF(AND(LEN(N59)&lt;&gt;15,LEN(N59)&lt;&gt;18),"错误",IF(MOD(IF(LEN(N59)=15,MID(N59,15,1),MID(N59,17,1)),2)=1,"男","女")))</f>
        <v>男</v>
      </c>
      <c r="P59" s="142">
        <f>IF(N59="","",IF(AND(LEN(N59)&lt;&gt;15,LEN(N59)&lt;&gt;18),"错误",IF(LEN(N59)=15,DATE(MID(N59,7,2),MID(N59,9,2),MID(N59,11,2)),DATE(MID(N59,7,4),MID(N59,11,2),MID(N59,13,2)))))</f>
        <v>32603</v>
      </c>
      <c r="Q59" s="143">
        <f ca="1">IF(N59="","",IF(AND(LEN(N59)&lt;&gt;15,LEN(N59)&lt;&gt;18),"错误",ROUNDDOWN((NOW()-P59)/365,0)))</f>
        <v>36</v>
      </c>
      <c r="R59" s="151" t="s">
        <v>1001</v>
      </c>
      <c r="S59" s="137" t="s">
        <v>785</v>
      </c>
      <c r="T59" s="137" t="s">
        <v>1002</v>
      </c>
      <c r="U59" s="139" t="s">
        <v>1180</v>
      </c>
      <c r="V59" s="139" t="s">
        <v>1180</v>
      </c>
      <c r="W59" s="137" t="s">
        <v>832</v>
      </c>
      <c r="X59" s="139" t="s">
        <v>1021</v>
      </c>
      <c r="Y59" s="137" t="s">
        <v>1181</v>
      </c>
      <c r="Z59" s="137" t="s">
        <v>1182</v>
      </c>
      <c r="AA59" s="145"/>
      <c r="AB59" s="147">
        <v>18637136992</v>
      </c>
      <c r="AC59" s="147"/>
      <c r="AD59" s="146"/>
      <c r="AE59" s="146" t="s">
        <v>1183</v>
      </c>
      <c r="AF59" s="147" t="s">
        <v>1184</v>
      </c>
      <c r="AG59" s="146" t="s">
        <v>1185</v>
      </c>
      <c r="AH59" s="147">
        <v>13693532642</v>
      </c>
      <c r="AI59" s="146" t="s">
        <v>1080</v>
      </c>
      <c r="AJ59" s="146"/>
      <c r="AK59" s="146"/>
      <c r="AL59" s="142">
        <v>41878</v>
      </c>
      <c r="AM59" s="142">
        <v>42613</v>
      </c>
      <c r="AN59" s="148">
        <f ca="1">ROUND(AM59-NOW(),0)</f>
        <v>-3439</v>
      </c>
      <c r="AO59" s="149"/>
      <c r="AP59" s="139"/>
      <c r="AQ59" s="137"/>
      <c r="AR59" s="85"/>
      <c r="AS59" s="88"/>
    </row>
    <row r="60" s="88" customFormat="1" customHeight="1" spans="1:45">
      <c r="A60" s="122">
        <v>59</v>
      </c>
      <c r="B60" s="126">
        <v>42243</v>
      </c>
      <c r="C60" s="125" t="s">
        <v>1026</v>
      </c>
      <c r="D60" s="125" t="s">
        <v>1186</v>
      </c>
      <c r="E60" s="125"/>
      <c r="F60" s="127" t="s">
        <v>1187</v>
      </c>
      <c r="G60" s="125"/>
      <c r="H60" s="123" t="s">
        <v>1188</v>
      </c>
      <c r="I60" s="125" t="s">
        <v>27</v>
      </c>
      <c r="J60" s="125" t="s">
        <v>803</v>
      </c>
      <c r="K60" s="125"/>
      <c r="L60" s="126">
        <v>41971</v>
      </c>
      <c r="M60" s="125" t="str">
        <f ca="1" t="shared" si="1"/>
        <v>11年2个月</v>
      </c>
      <c r="N60" s="183" t="s">
        <v>1189</v>
      </c>
      <c r="O60" s="125" t="str">
        <f>IF(N60="","",IF(AND(LEN(N60)&lt;&gt;15,LEN(N60)&lt;&gt;18),"错误",IF(MOD(IF(LEN(N60)=15,MID(N60,15,1),MID(N60,17,1)),2)=1,"男","女")))</f>
        <v>男</v>
      </c>
      <c r="P60" s="128">
        <f>IF(N60="","",IF(AND(LEN(N60)&lt;&gt;15,LEN(N60)&lt;&gt;18),"错误",IF(LEN(N60)=15,DATE(MID(N60,7,2),MID(N60,9,2),MID(N60,11,2)),DATE(MID(N60,7,4),MID(N60,11,2),MID(N60,13,2)))))</f>
        <v>34589</v>
      </c>
      <c r="Q60" s="129">
        <f ca="1">IF(N60="","",IF(AND(LEN(N60)&lt;&gt;15,LEN(N60)&lt;&gt;18),"错误",ROUNDDOWN((NOW()-P60)/365,0)))</f>
        <v>31</v>
      </c>
      <c r="R60" s="155" t="s">
        <v>1001</v>
      </c>
      <c r="S60" s="125" t="s">
        <v>785</v>
      </c>
      <c r="T60" s="125" t="s">
        <v>1002</v>
      </c>
      <c r="U60" s="125" t="s">
        <v>1190</v>
      </c>
      <c r="V60" s="125" t="s">
        <v>1191</v>
      </c>
      <c r="W60" s="125" t="s">
        <v>786</v>
      </c>
      <c r="X60" s="125" t="s">
        <v>1006</v>
      </c>
      <c r="Y60" s="125" t="s">
        <v>1109</v>
      </c>
      <c r="Z60" s="125"/>
      <c r="AA60" s="156"/>
      <c r="AB60" s="177">
        <v>18800109639</v>
      </c>
      <c r="AC60" s="177"/>
      <c r="AD60" s="178" t="s">
        <v>1192</v>
      </c>
      <c r="AE60" s="136" t="s">
        <v>1193</v>
      </c>
      <c r="AF60" s="157" t="s">
        <v>1194</v>
      </c>
      <c r="AG60" s="136" t="s">
        <v>1137</v>
      </c>
      <c r="AH60" s="157">
        <v>13975869750</v>
      </c>
      <c r="AI60" s="136" t="s">
        <v>1035</v>
      </c>
      <c r="AJ60" s="136" t="s">
        <v>105</v>
      </c>
      <c r="AK60" s="136"/>
      <c r="AL60" s="128"/>
      <c r="AM60" s="128"/>
      <c r="AN60" s="135"/>
      <c r="AO60" s="136"/>
      <c r="AP60" s="125"/>
      <c r="AQ60" s="190"/>
      <c r="AR60" s="87"/>
      <c r="AS60" s="89"/>
    </row>
    <row r="61" s="89" customFormat="1" customHeight="1" spans="1:45">
      <c r="A61" s="122">
        <v>60</v>
      </c>
      <c r="B61" s="126">
        <v>42244</v>
      </c>
      <c r="C61" s="125" t="s">
        <v>1026</v>
      </c>
      <c r="D61" s="125" t="s">
        <v>1195</v>
      </c>
      <c r="E61" s="125"/>
      <c r="F61" s="127" t="s">
        <v>1196</v>
      </c>
      <c r="G61" s="125"/>
      <c r="H61" s="123" t="s">
        <v>1197</v>
      </c>
      <c r="I61" s="125" t="s">
        <v>1157</v>
      </c>
      <c r="J61" s="125" t="s">
        <v>803</v>
      </c>
      <c r="K61" s="125"/>
      <c r="L61" s="126">
        <v>42214</v>
      </c>
      <c r="M61" s="125" t="str">
        <f ca="1" t="shared" si="1"/>
        <v>10年6个月</v>
      </c>
      <c r="N61" s="183" t="s">
        <v>1198</v>
      </c>
      <c r="O61" s="125" t="s">
        <v>782</v>
      </c>
      <c r="P61" s="128">
        <v>32465</v>
      </c>
      <c r="Q61" s="129">
        <f ca="1">IF(N61="","",IF(AND(LEN(N61)&lt;&gt;15,LEN(N61)&lt;&gt;18),"错误",ROUNDDOWN((NOW()-P61)/365,0)))</f>
        <v>37</v>
      </c>
      <c r="R61" s="155" t="s">
        <v>1001</v>
      </c>
      <c r="S61" s="125" t="s">
        <v>785</v>
      </c>
      <c r="T61" s="125" t="s">
        <v>1002</v>
      </c>
      <c r="U61" s="125" t="s">
        <v>1199</v>
      </c>
      <c r="V61" s="125" t="s">
        <v>1200</v>
      </c>
      <c r="W61" s="125" t="s">
        <v>1005</v>
      </c>
      <c r="X61" s="125" t="s">
        <v>1161</v>
      </c>
      <c r="Y61" s="125" t="s">
        <v>1201</v>
      </c>
      <c r="Z61" s="125" t="s">
        <v>1202</v>
      </c>
      <c r="AA61" s="156">
        <v>42887</v>
      </c>
      <c r="AB61" s="176">
        <v>18933390861</v>
      </c>
      <c r="AC61" s="176"/>
      <c r="AD61" s="189" t="s">
        <v>1203</v>
      </c>
      <c r="AE61" s="136" t="s">
        <v>1204</v>
      </c>
      <c r="AF61" s="157" t="s">
        <v>1205</v>
      </c>
      <c r="AG61" s="136" t="s">
        <v>1125</v>
      </c>
      <c r="AH61" s="157">
        <v>18933390861</v>
      </c>
      <c r="AI61" s="136" t="s">
        <v>1035</v>
      </c>
      <c r="AJ61" s="136" t="s">
        <v>51</v>
      </c>
      <c r="AK61" s="136"/>
      <c r="AL61" s="126"/>
      <c r="AM61" s="128"/>
      <c r="AN61" s="135"/>
      <c r="AO61" s="136"/>
      <c r="AP61" s="125"/>
      <c r="AQ61" s="132"/>
      <c r="AR61" s="87"/>
    </row>
    <row r="62" s="88" customFormat="1" customHeight="1" spans="1:45">
      <c r="A62" s="122">
        <v>61</v>
      </c>
      <c r="B62" s="140">
        <v>42249</v>
      </c>
      <c r="C62" s="139" t="s">
        <v>1026</v>
      </c>
      <c r="D62" s="139"/>
      <c r="E62" s="139"/>
      <c r="F62" s="141" t="s">
        <v>1206</v>
      </c>
      <c r="G62" s="139"/>
      <c r="H62" s="137" t="s">
        <v>1178</v>
      </c>
      <c r="I62" s="139" t="s">
        <v>1207</v>
      </c>
      <c r="J62" s="139" t="s">
        <v>803</v>
      </c>
      <c r="K62" s="139"/>
      <c r="L62" s="140">
        <v>42122</v>
      </c>
      <c r="M62" s="139" t="str">
        <f ca="1" t="shared" si="1"/>
        <v>10年9个月</v>
      </c>
      <c r="N62" s="181" t="s">
        <v>1208</v>
      </c>
      <c r="O62" s="139" t="s">
        <v>782</v>
      </c>
      <c r="P62" s="142">
        <v>33176</v>
      </c>
      <c r="Q62" s="143">
        <f ca="1">IF(N62="","",IF(AND(LEN(N62)&lt;&gt;15,LEN(N62)&lt;&gt;18),"错误",ROUNDDOWN((NOW()-P62)/365,0)))</f>
        <v>35</v>
      </c>
      <c r="R62" s="151" t="s">
        <v>1001</v>
      </c>
      <c r="S62" s="139" t="s">
        <v>785</v>
      </c>
      <c r="T62" s="139" t="s">
        <v>1002</v>
      </c>
      <c r="U62" s="139" t="s">
        <v>21</v>
      </c>
      <c r="V62" s="139" t="s">
        <v>1209</v>
      </c>
      <c r="W62" s="139" t="s">
        <v>1005</v>
      </c>
      <c r="X62" s="139" t="s">
        <v>974</v>
      </c>
      <c r="Y62" s="139" t="s">
        <v>1210</v>
      </c>
      <c r="Z62" s="139" t="s">
        <v>1211</v>
      </c>
      <c r="AA62" s="152">
        <v>41974</v>
      </c>
      <c r="AB62" s="184">
        <v>13811673191</v>
      </c>
      <c r="AC62" s="185"/>
      <c r="AD62" s="186" t="s">
        <v>1212</v>
      </c>
      <c r="AE62" s="149" t="s">
        <v>1213</v>
      </c>
      <c r="AF62" s="153" t="s">
        <v>1214</v>
      </c>
      <c r="AG62" s="149" t="s">
        <v>1011</v>
      </c>
      <c r="AH62" s="153">
        <v>13521052218</v>
      </c>
      <c r="AI62" s="149" t="s">
        <v>1060</v>
      </c>
      <c r="AJ62" s="149"/>
      <c r="AK62" s="149"/>
      <c r="AL62" s="140">
        <v>42122</v>
      </c>
      <c r="AM62" s="142">
        <f>EDATE(AL62,36)-1</f>
        <v>43217</v>
      </c>
      <c r="AN62" s="148">
        <f ca="1">ROUND(AM62-NOW(),0)</f>
        <v>-2835</v>
      </c>
      <c r="AO62" s="149"/>
      <c r="AP62" s="139"/>
      <c r="AQ62" s="137"/>
      <c r="AR62" s="85"/>
    </row>
    <row r="63" s="90" customFormat="1" customHeight="1" spans="1:45">
      <c r="A63" s="122">
        <v>62</v>
      </c>
      <c r="B63" s="170">
        <v>42254</v>
      </c>
      <c r="C63" s="160" t="s">
        <v>1026</v>
      </c>
      <c r="D63" s="160" t="s">
        <v>30</v>
      </c>
      <c r="E63" s="160"/>
      <c r="F63" s="161" t="s">
        <v>1215</v>
      </c>
      <c r="G63" s="160"/>
      <c r="H63" s="158" t="s">
        <v>1029</v>
      </c>
      <c r="I63" s="160" t="s">
        <v>27</v>
      </c>
      <c r="J63" s="160" t="s">
        <v>803</v>
      </c>
      <c r="K63" s="160"/>
      <c r="L63" s="170">
        <v>42172</v>
      </c>
      <c r="M63" s="160" t="str">
        <f ca="1" t="shared" si="1"/>
        <v>10年7个月</v>
      </c>
      <c r="N63" s="187" t="s">
        <v>1216</v>
      </c>
      <c r="O63" s="160" t="s">
        <v>782</v>
      </c>
      <c r="P63" s="163">
        <v>34115</v>
      </c>
      <c r="Q63" s="164">
        <f ca="1">IF(N63="","",IF(AND(LEN(N63)&lt;&gt;15,LEN(N63)&lt;&gt;18),"错误",ROUNDDOWN((NOW()-P63)/365,0)))</f>
        <v>32</v>
      </c>
      <c r="R63" s="165" t="s">
        <v>1001</v>
      </c>
      <c r="S63" s="160" t="s">
        <v>785</v>
      </c>
      <c r="T63" s="160" t="s">
        <v>1002</v>
      </c>
      <c r="U63" s="167" t="s">
        <v>1141</v>
      </c>
      <c r="V63" s="160" t="s">
        <v>1217</v>
      </c>
      <c r="W63" s="160" t="s">
        <v>1005</v>
      </c>
      <c r="X63" s="160" t="s">
        <v>1006</v>
      </c>
      <c r="Y63" s="160" t="s">
        <v>1109</v>
      </c>
      <c r="Z63" s="160" t="s">
        <v>1218</v>
      </c>
      <c r="AA63" s="166">
        <v>42552</v>
      </c>
      <c r="AB63" s="171">
        <v>15652700131</v>
      </c>
      <c r="AC63" s="188"/>
      <c r="AD63" s="172" t="s">
        <v>1219</v>
      </c>
      <c r="AE63" s="167" t="s">
        <v>1220</v>
      </c>
      <c r="AF63" s="168" t="s">
        <v>1221</v>
      </c>
      <c r="AG63" s="167" t="s">
        <v>1011</v>
      </c>
      <c r="AH63" s="168">
        <v>18959695279</v>
      </c>
      <c r="AI63" s="167" t="s">
        <v>1035</v>
      </c>
      <c r="AJ63" s="167" t="s">
        <v>105</v>
      </c>
      <c r="AK63" s="167"/>
      <c r="AL63" s="170"/>
      <c r="AM63" s="163"/>
      <c r="AN63" s="174"/>
      <c r="AO63" s="167"/>
      <c r="AP63" s="160"/>
      <c r="AQ63" s="191"/>
      <c r="AR63" s="86"/>
    </row>
    <row r="64" s="91" customFormat="1" customHeight="1" spans="1:45">
      <c r="A64" s="192">
        <v>63</v>
      </c>
      <c r="B64" s="193">
        <v>42276</v>
      </c>
      <c r="C64" s="194" t="s">
        <v>1026</v>
      </c>
      <c r="D64" s="195"/>
      <c r="E64" s="195" t="s">
        <v>1222</v>
      </c>
      <c r="F64" s="196" t="s">
        <v>1223</v>
      </c>
      <c r="G64" s="196" t="s">
        <v>1224</v>
      </c>
      <c r="H64" s="195" t="s">
        <v>1225</v>
      </c>
      <c r="I64" s="194" t="s">
        <v>1226</v>
      </c>
      <c r="J64" s="194" t="s">
        <v>1227</v>
      </c>
      <c r="K64" s="194" t="s">
        <v>227</v>
      </c>
      <c r="L64" s="193">
        <v>42199</v>
      </c>
      <c r="M64" s="194" t="str">
        <f ca="1" t="shared" si="1"/>
        <v>10年6个月</v>
      </c>
      <c r="N64" s="197" t="s">
        <v>1228</v>
      </c>
      <c r="O64" s="194" t="s">
        <v>782</v>
      </c>
      <c r="P64" s="198">
        <f>IF(N64="","",IF(AND(LEN(N64)&lt;&gt;15,LEN(N64)&lt;&gt;18),"错误",IF(LEN(N64)=15,DATE(MID(N64,7,2),MID(N64,9,2),MID(N64,11,2)),DATE(MID(N64,7,4),MID(N64,11,2),MID(N64,13,2)))))</f>
        <v>32022</v>
      </c>
      <c r="Q64" s="194">
        <v>28</v>
      </c>
      <c r="R64" s="199" t="s">
        <v>1001</v>
      </c>
      <c r="S64" s="194" t="s">
        <v>879</v>
      </c>
      <c r="T64" s="194" t="s">
        <v>1002</v>
      </c>
      <c r="U64" s="194" t="s">
        <v>1229</v>
      </c>
      <c r="V64" s="194" t="s">
        <v>1230</v>
      </c>
      <c r="W64" s="194" t="s">
        <v>1005</v>
      </c>
      <c r="X64" s="194" t="s">
        <v>1006</v>
      </c>
      <c r="Y64" s="194" t="s">
        <v>1231</v>
      </c>
      <c r="Z64" s="194" t="s">
        <v>1232</v>
      </c>
      <c r="AA64" s="200">
        <v>40725</v>
      </c>
      <c r="AB64" s="201">
        <v>18667010531</v>
      </c>
      <c r="AC64" s="202"/>
      <c r="AD64" s="203" t="s">
        <v>1233</v>
      </c>
      <c r="AE64" s="204" t="s">
        <v>1234</v>
      </c>
      <c r="AF64" s="205" t="s">
        <v>1235</v>
      </c>
      <c r="AG64" s="204" t="s">
        <v>1167</v>
      </c>
      <c r="AH64" s="205">
        <v>13093721235</v>
      </c>
      <c r="AI64" s="204"/>
      <c r="AJ64" s="204"/>
      <c r="AK64" s="204"/>
      <c r="AL64" s="193">
        <v>42199</v>
      </c>
      <c r="AM64" s="198">
        <v>42564</v>
      </c>
      <c r="AN64" s="206"/>
      <c r="AO64" s="204"/>
      <c r="AP64" s="194"/>
      <c r="AQ64" s="195"/>
      <c r="AR64" s="95"/>
    </row>
    <row r="65" s="89" customFormat="1" customHeight="1" spans="1:44">
      <c r="A65" s="122">
        <v>64</v>
      </c>
      <c r="B65" s="126">
        <v>42277</v>
      </c>
      <c r="C65" s="125" t="s">
        <v>1026</v>
      </c>
      <c r="D65" s="125"/>
      <c r="E65" s="125"/>
      <c r="F65" s="127" t="s">
        <v>1236</v>
      </c>
      <c r="G65" s="125"/>
      <c r="H65" s="123" t="s">
        <v>1169</v>
      </c>
      <c r="I65" s="125" t="s">
        <v>1170</v>
      </c>
      <c r="J65" s="125" t="s">
        <v>803</v>
      </c>
      <c r="K65" s="125"/>
      <c r="L65" s="126">
        <v>42242</v>
      </c>
      <c r="M65" s="125" t="str">
        <f ca="1" t="shared" si="1"/>
        <v>10年5个月</v>
      </c>
      <c r="N65" s="183" t="s">
        <v>1237</v>
      </c>
      <c r="O65" s="125" t="s">
        <v>794</v>
      </c>
      <c r="P65" s="128">
        <v>34692</v>
      </c>
      <c r="Q65" s="129">
        <v>20</v>
      </c>
      <c r="R65" s="155" t="s">
        <v>784</v>
      </c>
      <c r="S65" s="125" t="s">
        <v>785</v>
      </c>
      <c r="T65" s="125" t="s">
        <v>1002</v>
      </c>
      <c r="U65" s="125" t="s">
        <v>1238</v>
      </c>
      <c r="V65" s="125" t="s">
        <v>1239</v>
      </c>
      <c r="W65" s="125" t="s">
        <v>1054</v>
      </c>
      <c r="X65" s="125" t="s">
        <v>1006</v>
      </c>
      <c r="Y65" s="125" t="s">
        <v>1174</v>
      </c>
      <c r="Z65" s="125" t="s">
        <v>1240</v>
      </c>
      <c r="AA65" s="156">
        <v>42887</v>
      </c>
      <c r="AB65" s="177">
        <v>18811781495</v>
      </c>
      <c r="AC65" s="177"/>
      <c r="AD65" s="178" t="s">
        <v>1241</v>
      </c>
      <c r="AE65" s="136" t="s">
        <v>1176</v>
      </c>
      <c r="AF65" s="157"/>
      <c r="AG65" s="136"/>
      <c r="AH65" s="157"/>
      <c r="AI65" s="125" t="s">
        <v>1035</v>
      </c>
      <c r="AJ65" s="125" t="s">
        <v>1168</v>
      </c>
      <c r="AK65" s="125"/>
      <c r="AL65" s="126"/>
      <c r="AM65" s="128"/>
      <c r="AN65" s="135"/>
      <c r="AO65" s="136"/>
      <c r="AP65" s="125"/>
      <c r="AQ65" s="123"/>
      <c r="AR65" s="87"/>
    </row>
    <row r="66" s="88" customFormat="1" customHeight="1" spans="1:44">
      <c r="A66" s="122">
        <v>65</v>
      </c>
      <c r="B66" s="140">
        <v>42291</v>
      </c>
      <c r="C66" s="139" t="s">
        <v>1026</v>
      </c>
      <c r="D66" s="139"/>
      <c r="E66" s="139"/>
      <c r="F66" s="141" t="s">
        <v>1242</v>
      </c>
      <c r="G66" s="139"/>
      <c r="H66" s="137" t="s">
        <v>1243</v>
      </c>
      <c r="I66" s="139" t="s">
        <v>1244</v>
      </c>
      <c r="J66" s="139" t="s">
        <v>803</v>
      </c>
      <c r="K66" s="139"/>
      <c r="L66" s="140">
        <v>42242</v>
      </c>
      <c r="M66" s="139" t="str">
        <f ca="1" t="shared" si="1"/>
        <v>10年5个月</v>
      </c>
      <c r="N66" s="181" t="s">
        <v>1245</v>
      </c>
      <c r="O66" s="139" t="s">
        <v>782</v>
      </c>
      <c r="P66" s="142">
        <v>32571</v>
      </c>
      <c r="Q66" s="139">
        <f ca="1">IF(N66="","",IF(AND(LEN(N66)&lt;&gt;15,LEN(N66)&lt;&gt;18),"错误",ROUNDDOWN((NOW()-P66)/365,0)))</f>
        <v>36</v>
      </c>
      <c r="R66" s="151" t="s">
        <v>1001</v>
      </c>
      <c r="S66" s="139" t="s">
        <v>785</v>
      </c>
      <c r="T66" s="139" t="s">
        <v>1002</v>
      </c>
      <c r="U66" s="139" t="s">
        <v>21</v>
      </c>
      <c r="V66" s="139" t="s">
        <v>1246</v>
      </c>
      <c r="W66" s="139" t="s">
        <v>1005</v>
      </c>
      <c r="X66" s="139" t="s">
        <v>1006</v>
      </c>
      <c r="Y66" s="139" t="s">
        <v>1247</v>
      </c>
      <c r="Z66" s="139" t="s">
        <v>1248</v>
      </c>
      <c r="AA66" s="152">
        <v>40725</v>
      </c>
      <c r="AB66" s="184">
        <v>13426173843</v>
      </c>
      <c r="AC66" s="184"/>
      <c r="AD66" s="207" t="s">
        <v>1249</v>
      </c>
      <c r="AE66" s="149" t="s">
        <v>1246</v>
      </c>
      <c r="AF66" s="153" t="s">
        <v>1250</v>
      </c>
      <c r="AG66" s="149" t="s">
        <v>1097</v>
      </c>
      <c r="AH66" s="153">
        <v>13651267926</v>
      </c>
      <c r="AI66" s="149" t="s">
        <v>1060</v>
      </c>
      <c r="AJ66" s="149"/>
      <c r="AK66" s="149"/>
      <c r="AL66" s="140">
        <f>L66</f>
        <v>42242</v>
      </c>
      <c r="AM66" s="142">
        <f>EDATE(AL66,36)-1</f>
        <v>43337</v>
      </c>
      <c r="AN66" s="148">
        <f ca="1">ROUND(AM66-NOW(),0)</f>
        <v>-2715</v>
      </c>
      <c r="AO66" s="149"/>
      <c r="AP66" s="139"/>
      <c r="AQ66" s="122"/>
      <c r="AR66" s="85"/>
    </row>
    <row r="67" s="88" customFormat="1" customHeight="1" spans="1:44">
      <c r="A67" s="122">
        <v>66</v>
      </c>
      <c r="B67" s="140">
        <v>42293</v>
      </c>
      <c r="C67" s="139" t="s">
        <v>1026</v>
      </c>
      <c r="D67" s="137"/>
      <c r="E67" s="137"/>
      <c r="F67" s="137" t="s">
        <v>1251</v>
      </c>
      <c r="G67" s="137"/>
      <c r="H67" s="137" t="s">
        <v>1252</v>
      </c>
      <c r="I67" s="137" t="s">
        <v>1253</v>
      </c>
      <c r="J67" s="137" t="s">
        <v>803</v>
      </c>
      <c r="K67" s="137"/>
      <c r="L67" s="140">
        <v>41723</v>
      </c>
      <c r="M67" s="139" t="str">
        <f ca="1" t="shared" si="1"/>
        <v>11年10个月</v>
      </c>
      <c r="N67" s="181" t="s">
        <v>1254</v>
      </c>
      <c r="O67" s="139" t="str">
        <f>IF(N67="","",IF(AND(LEN(N67)&lt;&gt;15,LEN(N67)&lt;&gt;18),"错误",IF(MOD(IF(LEN(N67)=15,MID(N67,15,1),MID(N67,17,1)),2)=1,"男","女")))</f>
        <v>女</v>
      </c>
      <c r="P67" s="142">
        <f>IF(N67="","",IF(AND(LEN(N67)&lt;&gt;15,LEN(N67)&lt;&gt;18),"错误",IF(LEN(N67)=15,DATE(MID(N67,7,2),MID(N67,9,2),MID(N67,11,2)),DATE(MID(N67,7,4),MID(N67,11,2),MID(N67,13,2)))))</f>
        <v>30238</v>
      </c>
      <c r="Q67" s="139">
        <f ca="1">IF(N67="","",IF(AND(LEN(N67)&lt;&gt;15,LEN(N67)&lt;&gt;18),"错误",ROUNDDOWN((NOW()-P67)/365,0)))</f>
        <v>43</v>
      </c>
      <c r="R67" s="151" t="s">
        <v>1001</v>
      </c>
      <c r="S67" s="137" t="s">
        <v>879</v>
      </c>
      <c r="T67" s="137" t="s">
        <v>1051</v>
      </c>
      <c r="U67" s="139" t="s">
        <v>1255</v>
      </c>
      <c r="V67" s="139" t="s">
        <v>1256</v>
      </c>
      <c r="W67" s="137" t="s">
        <v>786</v>
      </c>
      <c r="X67" s="139" t="s">
        <v>1006</v>
      </c>
      <c r="Y67" s="137" t="s">
        <v>1257</v>
      </c>
      <c r="Z67" s="137" t="s">
        <v>1258</v>
      </c>
      <c r="AA67" s="145"/>
      <c r="AB67" s="147">
        <v>18101075332</v>
      </c>
      <c r="AC67" s="147"/>
      <c r="AD67" s="146" t="s">
        <v>1259</v>
      </c>
      <c r="AE67" s="146" t="s">
        <v>1256</v>
      </c>
      <c r="AF67" s="147" t="s">
        <v>1260</v>
      </c>
      <c r="AG67" s="146" t="s">
        <v>1167</v>
      </c>
      <c r="AH67" s="147">
        <v>13552887983</v>
      </c>
      <c r="AI67" s="146" t="s">
        <v>1080</v>
      </c>
      <c r="AJ67" s="146"/>
      <c r="AK67" s="146"/>
      <c r="AL67" s="142">
        <v>41723</v>
      </c>
      <c r="AM67" s="142">
        <v>42453</v>
      </c>
      <c r="AN67" s="148">
        <f ca="1">ROUND(AM67-NOW(),0)</f>
        <v>-3599</v>
      </c>
      <c r="AO67" s="149"/>
      <c r="AP67" s="139"/>
      <c r="AQ67" s="137"/>
      <c r="AR67" s="85"/>
    </row>
    <row r="68" s="89" customFormat="1" customHeight="1" spans="1:44">
      <c r="A68" s="122">
        <v>67</v>
      </c>
      <c r="B68" s="126">
        <v>42300</v>
      </c>
      <c r="C68" s="125" t="s">
        <v>1026</v>
      </c>
      <c r="D68" s="125" t="s">
        <v>1261</v>
      </c>
      <c r="E68" s="125"/>
      <c r="F68" s="127" t="s">
        <v>1262</v>
      </c>
      <c r="G68" s="125"/>
      <c r="H68" s="123" t="s">
        <v>1029</v>
      </c>
      <c r="I68" s="125" t="s">
        <v>27</v>
      </c>
      <c r="J68" s="125" t="s">
        <v>803</v>
      </c>
      <c r="K68" s="125"/>
      <c r="L68" s="126">
        <v>42191</v>
      </c>
      <c r="M68" s="125" t="str">
        <f ca="1" t="shared" si="1"/>
        <v>10年6个月</v>
      </c>
      <c r="N68" s="183" t="s">
        <v>1263</v>
      </c>
      <c r="O68" s="125" t="s">
        <v>782</v>
      </c>
      <c r="P68" s="128">
        <v>34915</v>
      </c>
      <c r="Q68" s="125">
        <f ca="1">IF(N68="","",IF(AND(LEN(N68)&lt;&gt;15,LEN(N68)&lt;&gt;18),"错误",ROUNDDOWN((NOW()-P68)/365,0)))</f>
        <v>30</v>
      </c>
      <c r="R68" s="155" t="s">
        <v>1001</v>
      </c>
      <c r="S68" s="125" t="s">
        <v>785</v>
      </c>
      <c r="T68" s="125" t="s">
        <v>1002</v>
      </c>
      <c r="U68" s="125" t="s">
        <v>1264</v>
      </c>
      <c r="V68" s="125" t="s">
        <v>1265</v>
      </c>
      <c r="W68" s="125" t="s">
        <v>1005</v>
      </c>
      <c r="X68" s="125" t="s">
        <v>1006</v>
      </c>
      <c r="Y68" s="125" t="s">
        <v>1031</v>
      </c>
      <c r="Z68" s="125" t="s">
        <v>1266</v>
      </c>
      <c r="AA68" s="156">
        <v>42887</v>
      </c>
      <c r="AB68" s="177">
        <v>13021258422</v>
      </c>
      <c r="AC68" s="177"/>
      <c r="AD68" s="178" t="s">
        <v>1267</v>
      </c>
      <c r="AE68" s="136" t="s">
        <v>1268</v>
      </c>
      <c r="AF68" s="157" t="s">
        <v>1269</v>
      </c>
      <c r="AG68" s="136" t="s">
        <v>1011</v>
      </c>
      <c r="AH68" s="157">
        <v>13588073767</v>
      </c>
      <c r="AI68" s="136" t="s">
        <v>1035</v>
      </c>
      <c r="AJ68" s="136" t="s">
        <v>28</v>
      </c>
      <c r="AK68" s="136"/>
      <c r="AL68" s="126"/>
      <c r="AM68" s="128"/>
      <c r="AN68" s="135"/>
      <c r="AO68" s="136"/>
      <c r="AP68" s="125"/>
      <c r="AQ68" s="132"/>
      <c r="AR68" s="87"/>
    </row>
    <row r="69" s="88" customFormat="1" customHeight="1" spans="1:44">
      <c r="A69" s="122">
        <v>68</v>
      </c>
      <c r="B69" s="140">
        <v>42300</v>
      </c>
      <c r="C69" s="139" t="s">
        <v>1026</v>
      </c>
      <c r="D69" s="139" t="s">
        <v>1270</v>
      </c>
      <c r="E69" s="139"/>
      <c r="F69" s="141" t="s">
        <v>1271</v>
      </c>
      <c r="G69" s="139"/>
      <c r="H69" s="137" t="s">
        <v>1272</v>
      </c>
      <c r="I69" s="139" t="s">
        <v>102</v>
      </c>
      <c r="J69" s="139" t="s">
        <v>803</v>
      </c>
      <c r="K69" s="139"/>
      <c r="L69" s="140">
        <v>42296</v>
      </c>
      <c r="M69" s="139" t="str">
        <f ca="1" t="shared" si="1"/>
        <v>10年3个月</v>
      </c>
      <c r="N69" s="181" t="s">
        <v>1273</v>
      </c>
      <c r="O69" s="139" t="s">
        <v>794</v>
      </c>
      <c r="P69" s="142">
        <v>24276</v>
      </c>
      <c r="Q69" s="143">
        <f ca="1">IF(N69="","",IF(AND(LEN(N69)&lt;&gt;15,LEN(N69)&lt;&gt;18),"错误",ROUNDDOWN((NOW()-P69)/365,0)))</f>
        <v>59</v>
      </c>
      <c r="R69" s="151" t="s">
        <v>1274</v>
      </c>
      <c r="S69" s="139" t="s">
        <v>879</v>
      </c>
      <c r="T69" s="139" t="s">
        <v>1275</v>
      </c>
      <c r="U69" s="139" t="s">
        <v>1276</v>
      </c>
      <c r="V69" s="139"/>
      <c r="W69" s="139"/>
      <c r="X69" s="139"/>
      <c r="Y69" s="139"/>
      <c r="Z69" s="139"/>
      <c r="AA69" s="152"/>
      <c r="AB69" s="184">
        <v>13641360146</v>
      </c>
      <c r="AC69" s="185"/>
      <c r="AD69" s="186"/>
      <c r="AE69" s="149" t="s">
        <v>1277</v>
      </c>
      <c r="AF69" s="153" t="s">
        <v>1278</v>
      </c>
      <c r="AG69" s="149" t="s">
        <v>1279</v>
      </c>
      <c r="AH69" s="153">
        <v>15036239823</v>
      </c>
      <c r="AI69" s="149" t="s">
        <v>1035</v>
      </c>
      <c r="AJ69" s="149" t="s">
        <v>100</v>
      </c>
      <c r="AK69" s="149"/>
      <c r="AL69" s="140">
        <f>L69</f>
        <v>42296</v>
      </c>
      <c r="AM69" s="142">
        <f>EDATE(AL69,36)-1</f>
        <v>43391</v>
      </c>
      <c r="AN69" s="148">
        <f ca="1">ROUND(AM69-NOW(),0)</f>
        <v>-2661</v>
      </c>
      <c r="AO69" s="149"/>
      <c r="AP69" s="139"/>
      <c r="AQ69" s="122"/>
      <c r="AR69" s="85"/>
    </row>
    <row r="70" s="89" customFormat="1" customHeight="1" spans="1:44">
      <c r="A70" s="122">
        <v>69</v>
      </c>
      <c r="B70" s="126">
        <v>42311</v>
      </c>
      <c r="C70" s="125" t="s">
        <v>1026</v>
      </c>
      <c r="D70" s="125"/>
      <c r="E70" s="125"/>
      <c r="F70" s="127" t="s">
        <v>1280</v>
      </c>
      <c r="G70" s="125"/>
      <c r="H70" s="123" t="s">
        <v>1281</v>
      </c>
      <c r="I70" s="125" t="s">
        <v>27</v>
      </c>
      <c r="J70" s="125" t="s">
        <v>803</v>
      </c>
      <c r="K70" s="125"/>
      <c r="L70" s="126">
        <v>42117</v>
      </c>
      <c r="M70" s="125" t="str">
        <f ca="1" t="shared" si="1"/>
        <v>10年9个月</v>
      </c>
      <c r="N70" s="183" t="s">
        <v>1282</v>
      </c>
      <c r="O70" s="125" t="s">
        <v>782</v>
      </c>
      <c r="P70" s="128">
        <v>34877</v>
      </c>
      <c r="Q70" s="125">
        <f ca="1">IF(N70="","",IF(AND(LEN(N70)&lt;&gt;15,LEN(N70)&lt;&gt;18),"错误",ROUNDDOWN((NOW()-P70)/365,0)))</f>
        <v>30</v>
      </c>
      <c r="R70" s="155" t="s">
        <v>1001</v>
      </c>
      <c r="S70" s="125" t="s">
        <v>785</v>
      </c>
      <c r="T70" s="125" t="s">
        <v>1002</v>
      </c>
      <c r="U70" s="125" t="s">
        <v>1283</v>
      </c>
      <c r="V70" s="125" t="s">
        <v>1284</v>
      </c>
      <c r="W70" s="125" t="s">
        <v>1005</v>
      </c>
      <c r="X70" s="125" t="s">
        <v>1006</v>
      </c>
      <c r="Y70" s="125" t="s">
        <v>1031</v>
      </c>
      <c r="Z70" s="125" t="s">
        <v>1285</v>
      </c>
      <c r="AA70" s="156">
        <v>42887</v>
      </c>
      <c r="AB70" s="176">
        <v>15311755627</v>
      </c>
      <c r="AC70" s="177"/>
      <c r="AD70" s="178" t="s">
        <v>1286</v>
      </c>
      <c r="AE70" s="136" t="s">
        <v>1284</v>
      </c>
      <c r="AF70" s="157" t="s">
        <v>1287</v>
      </c>
      <c r="AG70" s="136" t="s">
        <v>1011</v>
      </c>
      <c r="AH70" s="157">
        <v>13916023927</v>
      </c>
      <c r="AI70" s="136" t="s">
        <v>1035</v>
      </c>
      <c r="AJ70" s="136" t="s">
        <v>28</v>
      </c>
      <c r="AK70" s="136"/>
      <c r="AL70" s="126"/>
      <c r="AM70" s="128"/>
      <c r="AN70" s="135"/>
      <c r="AO70" s="136"/>
      <c r="AP70" s="125"/>
      <c r="AQ70" s="123"/>
      <c r="AR70" s="87"/>
    </row>
    <row r="71" s="88" customFormat="1" customHeight="1" spans="1:44">
      <c r="A71" s="122">
        <v>70</v>
      </c>
      <c r="B71" s="140">
        <v>42327</v>
      </c>
      <c r="C71" s="139" t="s">
        <v>1026</v>
      </c>
      <c r="D71" s="137"/>
      <c r="E71" s="137"/>
      <c r="F71" s="141" t="s">
        <v>1288</v>
      </c>
      <c r="G71" s="141" t="s">
        <v>1224</v>
      </c>
      <c r="H71" s="137" t="s">
        <v>1289</v>
      </c>
      <c r="I71" s="139" t="s">
        <v>208</v>
      </c>
      <c r="J71" s="139" t="s">
        <v>1227</v>
      </c>
      <c r="K71" s="139" t="s">
        <v>227</v>
      </c>
      <c r="L71" s="140">
        <v>42324</v>
      </c>
      <c r="M71" s="139" t="str">
        <f ca="1" t="shared" si="1"/>
        <v>10年2个月</v>
      </c>
      <c r="N71" s="181" t="s">
        <v>1290</v>
      </c>
      <c r="O71" s="139" t="str">
        <f>IF(MOD(MID(N71,17,1),2),"男","女")</f>
        <v>男</v>
      </c>
      <c r="P71" s="142">
        <f>IF(N71="","",IF(AND(LEN(N71)&lt;&gt;15,LEN(N71)&lt;&gt;18),"错误",IF(LEN(N71)=15,DATE(MID(N71,7,2),MID(N71,9,2),MID(N71,11,2)),DATE(MID(N71,7,4),MID(N71,11,2),MID(N71,13,2)))))</f>
        <v>31156</v>
      </c>
      <c r="Q71" s="139">
        <f ca="1">YEAR(NOW())-MID(N71,7,4)</f>
        <v>41</v>
      </c>
      <c r="R71" s="151" t="s">
        <v>1291</v>
      </c>
      <c r="S71" s="139" t="s">
        <v>879</v>
      </c>
      <c r="T71" s="139" t="s">
        <v>1292</v>
      </c>
      <c r="U71" s="139"/>
      <c r="V71" s="139"/>
      <c r="W71" s="139"/>
      <c r="X71" s="139" t="s">
        <v>789</v>
      </c>
      <c r="Y71" s="139" t="s">
        <v>1293</v>
      </c>
      <c r="Z71" s="139" t="s">
        <v>1294</v>
      </c>
      <c r="AA71" s="152">
        <v>39617</v>
      </c>
      <c r="AB71" s="184" t="s">
        <v>1295</v>
      </c>
      <c r="AC71" s="208"/>
      <c r="AD71" s="186"/>
      <c r="AE71" s="149"/>
      <c r="AF71" s="153"/>
      <c r="AG71" s="149"/>
      <c r="AH71" s="153"/>
      <c r="AI71" s="149"/>
      <c r="AJ71" s="149"/>
      <c r="AK71" s="149"/>
      <c r="AL71" s="140"/>
      <c r="AM71" s="142"/>
      <c r="AN71" s="148"/>
      <c r="AO71" s="149"/>
      <c r="AP71" s="139"/>
      <c r="AQ71" s="137"/>
      <c r="AR71" s="85"/>
    </row>
    <row r="72" s="87" customFormat="1" customHeight="1" spans="1:44">
      <c r="A72" s="122">
        <v>71</v>
      </c>
      <c r="B72" s="126">
        <v>42328</v>
      </c>
      <c r="C72" s="125" t="s">
        <v>1026</v>
      </c>
      <c r="D72" s="125"/>
      <c r="E72" s="125"/>
      <c r="F72" s="127" t="s">
        <v>937</v>
      </c>
      <c r="G72" s="125"/>
      <c r="H72" s="123" t="s">
        <v>1296</v>
      </c>
      <c r="I72" s="125" t="s">
        <v>27</v>
      </c>
      <c r="J72" s="125" t="s">
        <v>803</v>
      </c>
      <c r="K72" s="125"/>
      <c r="L72" s="126">
        <v>42186</v>
      </c>
      <c r="M72" s="125" t="str">
        <f ca="1" t="shared" si="1"/>
        <v>10年6个月</v>
      </c>
      <c r="N72" s="183" t="s">
        <v>938</v>
      </c>
      <c r="O72" s="125" t="s">
        <v>782</v>
      </c>
      <c r="P72" s="128">
        <v>33869</v>
      </c>
      <c r="Q72" s="125">
        <f ca="1">IF(N72="","",IF(AND(LEN(N72)&lt;&gt;15,LEN(N72)&lt;&gt;18),"错误",ROUNDDOWN((NOW()-P72)/365,0)))</f>
        <v>33</v>
      </c>
      <c r="R72" s="155" t="s">
        <v>1001</v>
      </c>
      <c r="S72" s="125" t="s">
        <v>785</v>
      </c>
      <c r="T72" s="125" t="s">
        <v>1002</v>
      </c>
      <c r="U72" s="125" t="s">
        <v>1297</v>
      </c>
      <c r="V72" s="125" t="s">
        <v>1298</v>
      </c>
      <c r="W72" s="125" t="s">
        <v>1005</v>
      </c>
      <c r="X72" s="125" t="s">
        <v>1006</v>
      </c>
      <c r="Y72" s="125" t="s">
        <v>1031</v>
      </c>
      <c r="Z72" s="125" t="s">
        <v>824</v>
      </c>
      <c r="AA72" s="156">
        <v>42197</v>
      </c>
      <c r="AB72" s="176">
        <v>18101159669</v>
      </c>
      <c r="AC72" s="177"/>
      <c r="AD72" s="178" t="s">
        <v>1299</v>
      </c>
      <c r="AE72" s="136" t="s">
        <v>1298</v>
      </c>
      <c r="AF72" s="157" t="s">
        <v>942</v>
      </c>
      <c r="AG72" s="136" t="s">
        <v>1046</v>
      </c>
      <c r="AH72" s="157">
        <v>15951539823</v>
      </c>
      <c r="AI72" s="136" t="s">
        <v>1035</v>
      </c>
      <c r="AJ72" s="136" t="s">
        <v>40</v>
      </c>
      <c r="AK72" s="136"/>
      <c r="AL72" s="126"/>
      <c r="AM72" s="128"/>
      <c r="AN72" s="135"/>
      <c r="AO72" s="136"/>
      <c r="AP72" s="125"/>
      <c r="AQ72" s="132"/>
    </row>
    <row r="73" s="85" customFormat="1" customHeight="1" spans="1:44">
      <c r="A73" s="122">
        <v>72</v>
      </c>
      <c r="B73" s="140">
        <v>42341</v>
      </c>
      <c r="C73" s="139" t="s">
        <v>1026</v>
      </c>
      <c r="D73" s="139"/>
      <c r="E73" s="139"/>
      <c r="F73" s="141" t="s">
        <v>1300</v>
      </c>
      <c r="G73" s="139"/>
      <c r="H73" s="137" t="s">
        <v>1272</v>
      </c>
      <c r="I73" s="139" t="s">
        <v>1301</v>
      </c>
      <c r="J73" s="139" t="s">
        <v>803</v>
      </c>
      <c r="K73" s="139"/>
      <c r="L73" s="140">
        <v>42296</v>
      </c>
      <c r="M73" s="139" t="str">
        <f ca="1" t="shared" si="1"/>
        <v>10年3个月</v>
      </c>
      <c r="N73" s="181" t="s">
        <v>1302</v>
      </c>
      <c r="O73" s="139" t="s">
        <v>794</v>
      </c>
      <c r="P73" s="142">
        <v>31811</v>
      </c>
      <c r="Q73" s="139">
        <f ca="1">IF(N73="","",IF(AND(LEN(N73)&lt;&gt;15,LEN(N73)&lt;&gt;18),"错误",ROUNDDOWN((NOW()-P73)/365,0)))</f>
        <v>39</v>
      </c>
      <c r="R73" s="151" t="s">
        <v>1001</v>
      </c>
      <c r="S73" s="139" t="s">
        <v>785</v>
      </c>
      <c r="T73" s="139" t="s">
        <v>1002</v>
      </c>
      <c r="U73" s="139" t="s">
        <v>21</v>
      </c>
      <c r="V73" s="139" t="s">
        <v>1303</v>
      </c>
      <c r="W73" s="139" t="s">
        <v>1005</v>
      </c>
      <c r="X73" s="139" t="s">
        <v>1006</v>
      </c>
      <c r="Y73" s="139" t="s">
        <v>1304</v>
      </c>
      <c r="Z73" s="139" t="s">
        <v>1305</v>
      </c>
      <c r="AA73" s="152">
        <v>40057</v>
      </c>
      <c r="AB73" s="184">
        <v>13911237759</v>
      </c>
      <c r="AC73" s="185"/>
      <c r="AD73" s="186" t="s">
        <v>1306</v>
      </c>
      <c r="AE73" s="149" t="s">
        <v>1307</v>
      </c>
      <c r="AF73" s="153" t="s">
        <v>1308</v>
      </c>
      <c r="AG73" s="149" t="s">
        <v>1309</v>
      </c>
      <c r="AH73" s="153">
        <v>13910921389</v>
      </c>
      <c r="AI73" s="149" t="s">
        <v>1080</v>
      </c>
      <c r="AJ73" s="149"/>
      <c r="AK73" s="149"/>
      <c r="AL73" s="140">
        <f>L73</f>
        <v>42296</v>
      </c>
      <c r="AM73" s="142">
        <f>EDATE(AL73,36)-1</f>
        <v>43391</v>
      </c>
      <c r="AN73" s="148">
        <f ca="1">ROUND(AM73-NOW(),0)</f>
        <v>-2661</v>
      </c>
      <c r="AO73" s="149"/>
      <c r="AP73" s="139"/>
      <c r="AQ73" s="122"/>
    </row>
    <row r="74" s="87" customFormat="1" customHeight="1" spans="1:44">
      <c r="A74" s="122">
        <v>73</v>
      </c>
      <c r="B74" s="126">
        <v>42346</v>
      </c>
      <c r="C74" s="125" t="s">
        <v>1026</v>
      </c>
      <c r="D74" s="125" t="s">
        <v>30</v>
      </c>
      <c r="E74" s="125"/>
      <c r="F74" s="127" t="s">
        <v>1310</v>
      </c>
      <c r="G74" s="125"/>
      <c r="H74" s="123" t="s">
        <v>1029</v>
      </c>
      <c r="I74" s="125" t="s">
        <v>27</v>
      </c>
      <c r="J74" s="125" t="s">
        <v>803</v>
      </c>
      <c r="K74" s="125"/>
      <c r="L74" s="126">
        <v>42069</v>
      </c>
      <c r="M74" s="125" t="str">
        <f ca="1" t="shared" si="1"/>
        <v>10年10个月</v>
      </c>
      <c r="N74" s="183" t="s">
        <v>1311</v>
      </c>
      <c r="O74" s="125" t="str">
        <f>IF(N74="","",IF(AND(LEN(N74)&lt;&gt;15,LEN(N74)&lt;&gt;18),"错误",IF(MOD(IF(LEN(N74)=15,MID(N74,15,1),MID(N74,17,1)),2)=1,"男","女")))</f>
        <v>男</v>
      </c>
      <c r="P74" s="128">
        <f>IF(N74="","",IF(AND(LEN(N74)&lt;&gt;15,LEN(N74)&lt;&gt;18),"错误",IF(LEN(N74)=15,DATE(MID(N74,7,2),MID(N74,9,2),MID(N74,11,2)),DATE(MID(N74,7,4),MID(N74,11,2),MID(N74,13,2)))))</f>
        <v>34360</v>
      </c>
      <c r="Q74" s="125">
        <f ca="1">IF(N74="","",IF(AND(LEN(N74)&lt;&gt;15,LEN(N74)&lt;&gt;18),"错误",ROUNDDOWN((NOW()-P74)/365,0)))</f>
        <v>32</v>
      </c>
      <c r="R74" s="125" t="s">
        <v>1001</v>
      </c>
      <c r="S74" s="125" t="s">
        <v>785</v>
      </c>
      <c r="T74" s="125" t="s">
        <v>1002</v>
      </c>
      <c r="U74" s="125" t="s">
        <v>1199</v>
      </c>
      <c r="V74" s="125" t="s">
        <v>21</v>
      </c>
      <c r="W74" s="125" t="s">
        <v>786</v>
      </c>
      <c r="X74" s="125" t="s">
        <v>1006</v>
      </c>
      <c r="Y74" s="125" t="s">
        <v>1031</v>
      </c>
      <c r="Z74" s="125" t="s">
        <v>1266</v>
      </c>
      <c r="AA74" s="156">
        <v>42522</v>
      </c>
      <c r="AB74" s="177">
        <v>18500979645</v>
      </c>
      <c r="AC74" s="177"/>
      <c r="AD74" s="178" t="s">
        <v>1312</v>
      </c>
      <c r="AE74" s="136" t="s">
        <v>1313</v>
      </c>
      <c r="AF74" s="157"/>
      <c r="AG74" s="136"/>
      <c r="AH74" s="157">
        <v>13787123325</v>
      </c>
      <c r="AI74" s="136" t="s">
        <v>1035</v>
      </c>
      <c r="AJ74" s="136"/>
      <c r="AK74" s="136"/>
      <c r="AL74" s="128"/>
      <c r="AM74" s="128"/>
      <c r="AN74" s="135"/>
      <c r="AO74" s="136"/>
      <c r="AP74" s="125"/>
      <c r="AQ74" s="123"/>
    </row>
    <row r="75" s="85" customFormat="1" customHeight="1" spans="1:44">
      <c r="A75" s="122">
        <v>74</v>
      </c>
      <c r="B75" s="140">
        <v>42366</v>
      </c>
      <c r="C75" s="139" t="s">
        <v>1026</v>
      </c>
      <c r="D75" s="137"/>
      <c r="E75" s="137"/>
      <c r="F75" s="141" t="s">
        <v>1314</v>
      </c>
      <c r="G75" s="141" t="s">
        <v>1224</v>
      </c>
      <c r="H75" s="137" t="s">
        <v>1225</v>
      </c>
      <c r="I75" s="139" t="s">
        <v>1226</v>
      </c>
      <c r="J75" s="139" t="s">
        <v>1227</v>
      </c>
      <c r="K75" s="139" t="s">
        <v>227</v>
      </c>
      <c r="L75" s="140">
        <v>42355</v>
      </c>
      <c r="M75" s="139" t="str">
        <f ca="1" t="shared" si="1"/>
        <v>10年1个月</v>
      </c>
      <c r="N75" s="181" t="s">
        <v>1315</v>
      </c>
      <c r="O75" s="139" t="s">
        <v>782</v>
      </c>
      <c r="P75" s="142">
        <f>IF(N75="","",IF(AND(LEN(N75)&lt;&gt;15,LEN(N75)&lt;&gt;18),"错误",IF(LEN(N75)=15,DATE(MID(N75,7,2),MID(N75,9,2),MID(N75,11,2)),DATE(MID(N75,7,4),MID(N75,11,2),MID(N75,13,2)))))</f>
        <v>31344</v>
      </c>
      <c r="Q75" s="139">
        <v>30</v>
      </c>
      <c r="R75" s="151" t="s">
        <v>1001</v>
      </c>
      <c r="S75" s="139" t="s">
        <v>785</v>
      </c>
      <c r="T75" s="139" t="s">
        <v>1002</v>
      </c>
      <c r="U75" s="139" t="s">
        <v>1316</v>
      </c>
      <c r="V75" s="139" t="s">
        <v>1317</v>
      </c>
      <c r="W75" s="139" t="s">
        <v>1318</v>
      </c>
      <c r="X75" s="139" t="s">
        <v>974</v>
      </c>
      <c r="Y75" s="139" t="s">
        <v>1319</v>
      </c>
      <c r="Z75" s="139" t="s">
        <v>1320</v>
      </c>
      <c r="AA75" s="152">
        <v>40969</v>
      </c>
      <c r="AB75" s="184" t="s">
        <v>1321</v>
      </c>
      <c r="AC75" s="208"/>
      <c r="AD75" s="186" t="s">
        <v>1322</v>
      </c>
      <c r="AE75" s="149" t="s">
        <v>1317</v>
      </c>
      <c r="AF75" s="153" t="s">
        <v>1323</v>
      </c>
      <c r="AG75" s="149" t="s">
        <v>1046</v>
      </c>
      <c r="AH75" s="153">
        <v>13839239509</v>
      </c>
      <c r="AI75" s="149"/>
      <c r="AJ75" s="149"/>
      <c r="AK75" s="149"/>
      <c r="AL75" s="140"/>
      <c r="AM75" s="142"/>
      <c r="AN75" s="148"/>
      <c r="AO75" s="149"/>
      <c r="AP75" s="139"/>
      <c r="AQ75" s="137"/>
    </row>
    <row r="76" s="86" customFormat="1" customHeight="1" spans="1:44">
      <c r="A76" s="122">
        <v>75</v>
      </c>
      <c r="B76" s="170">
        <v>42377</v>
      </c>
      <c r="C76" s="160" t="s">
        <v>1026</v>
      </c>
      <c r="D76" s="158"/>
      <c r="E76" s="158"/>
      <c r="F76" s="161" t="s">
        <v>1324</v>
      </c>
      <c r="G76" s="161" t="s">
        <v>1224</v>
      </c>
      <c r="H76" s="158" t="s">
        <v>1325</v>
      </c>
      <c r="I76" s="160" t="s">
        <v>27</v>
      </c>
      <c r="J76" s="160" t="s">
        <v>1227</v>
      </c>
      <c r="K76" s="160" t="s">
        <v>227</v>
      </c>
      <c r="L76" s="170">
        <v>42349</v>
      </c>
      <c r="M76" s="160" t="str">
        <f ca="1" t="shared" si="1"/>
        <v>10年1个月</v>
      </c>
      <c r="N76" s="187" t="s">
        <v>1326</v>
      </c>
      <c r="O76" s="160" t="str">
        <f>IF(MOD(MID(N76,17,1),2),"男","女")</f>
        <v>男</v>
      </c>
      <c r="P76" s="163">
        <f>IF(N76="","",IF(AND(LEN(N76)&lt;&gt;15,LEN(N76)&lt;&gt;18),"错误",IF(LEN(N76)=15,DATE(MID(N76,7,2),MID(N76,9,2),MID(N76,11,2)),DATE(MID(N76,7,4),MID(N76,11,2),MID(N76,13,2)))))</f>
        <v>31842</v>
      </c>
      <c r="Q76" s="160">
        <f ca="1">YEAR(NOW())-MID(N76,7,4)</f>
        <v>39</v>
      </c>
      <c r="R76" s="165" t="s">
        <v>1001</v>
      </c>
      <c r="S76" s="160" t="s">
        <v>785</v>
      </c>
      <c r="T76" s="160" t="s">
        <v>1002</v>
      </c>
      <c r="U76" s="160" t="s">
        <v>1327</v>
      </c>
      <c r="V76" s="160" t="s">
        <v>1328</v>
      </c>
      <c r="W76" s="160" t="s">
        <v>1318</v>
      </c>
      <c r="X76" s="160" t="s">
        <v>974</v>
      </c>
      <c r="Y76" s="160" t="s">
        <v>787</v>
      </c>
      <c r="Z76" s="160" t="s">
        <v>1329</v>
      </c>
      <c r="AA76" s="166"/>
      <c r="AB76" s="188">
        <v>18757146331</v>
      </c>
      <c r="AC76" s="209"/>
      <c r="AD76" s="172" t="s">
        <v>1330</v>
      </c>
      <c r="AE76" s="167" t="s">
        <v>1327</v>
      </c>
      <c r="AF76" s="168" t="s">
        <v>1331</v>
      </c>
      <c r="AG76" s="167" t="s">
        <v>1332</v>
      </c>
      <c r="AH76" s="168">
        <v>15841178905</v>
      </c>
      <c r="AI76" s="167"/>
      <c r="AJ76" s="167"/>
      <c r="AK76" s="167"/>
      <c r="AL76" s="170"/>
      <c r="AM76" s="163"/>
      <c r="AN76" s="174"/>
      <c r="AO76" s="167"/>
      <c r="AP76" s="160"/>
      <c r="AQ76" s="158"/>
    </row>
    <row r="77" s="85" customFormat="1" customHeight="1" spans="1:44">
      <c r="A77" s="122">
        <v>76</v>
      </c>
      <c r="B77" s="140">
        <v>42380</v>
      </c>
      <c r="C77" s="139" t="s">
        <v>1026</v>
      </c>
      <c r="D77" s="139" t="s">
        <v>1333</v>
      </c>
      <c r="E77" s="139"/>
      <c r="F77" s="141" t="s">
        <v>1334</v>
      </c>
      <c r="G77" s="139"/>
      <c r="H77" s="137" t="s">
        <v>1335</v>
      </c>
      <c r="I77" s="139" t="s">
        <v>1336</v>
      </c>
      <c r="J77" s="139" t="s">
        <v>803</v>
      </c>
      <c r="K77" s="139"/>
      <c r="L77" s="140">
        <v>42373</v>
      </c>
      <c r="M77" s="139" t="str">
        <f ca="1" t="shared" si="1"/>
        <v>10年0个月</v>
      </c>
      <c r="N77" s="181" t="s">
        <v>1337</v>
      </c>
      <c r="O77" s="139" t="s">
        <v>782</v>
      </c>
      <c r="P77" s="142">
        <v>32177</v>
      </c>
      <c r="Q77" s="139">
        <v>27</v>
      </c>
      <c r="R77" s="151" t="s">
        <v>1001</v>
      </c>
      <c r="S77" s="139" t="s">
        <v>785</v>
      </c>
      <c r="T77" s="139" t="s">
        <v>1002</v>
      </c>
      <c r="U77" s="139" t="s">
        <v>21</v>
      </c>
      <c r="V77" s="139" t="s">
        <v>1338</v>
      </c>
      <c r="W77" s="139" t="s">
        <v>1005</v>
      </c>
      <c r="X77" s="139" t="s">
        <v>1006</v>
      </c>
      <c r="Y77" s="139" t="s">
        <v>1339</v>
      </c>
      <c r="Z77" s="139" t="s">
        <v>1340</v>
      </c>
      <c r="AA77" s="152" t="s">
        <v>1341</v>
      </c>
      <c r="AB77" s="184">
        <v>13426416382</v>
      </c>
      <c r="AC77" s="185"/>
      <c r="AD77" s="186" t="s">
        <v>1342</v>
      </c>
      <c r="AE77" s="149" t="s">
        <v>1343</v>
      </c>
      <c r="AF77" s="153" t="s">
        <v>1344</v>
      </c>
      <c r="AG77" s="149" t="s">
        <v>1345</v>
      </c>
      <c r="AH77" s="153">
        <v>15101138526</v>
      </c>
      <c r="AI77" s="149" t="s">
        <v>1060</v>
      </c>
      <c r="AJ77" s="149">
        <v>0</v>
      </c>
      <c r="AK77" s="149"/>
      <c r="AL77" s="140">
        <f>L77</f>
        <v>42373</v>
      </c>
      <c r="AM77" s="142">
        <f>EDATE(AL77,36)-1</f>
        <v>43468</v>
      </c>
      <c r="AN77" s="148">
        <f ca="1">ROUND(AM77-NOW(),0)</f>
        <v>-2584</v>
      </c>
      <c r="AO77" s="149"/>
      <c r="AP77" s="139"/>
      <c r="AQ77" s="137"/>
    </row>
    <row r="78" s="86" customFormat="1" customHeight="1" spans="1:44">
      <c r="A78" s="122">
        <v>77</v>
      </c>
      <c r="B78" s="170">
        <v>42386</v>
      </c>
      <c r="C78" s="160" t="s">
        <v>1026</v>
      </c>
      <c r="D78" s="160"/>
      <c r="E78" s="160"/>
      <c r="F78" s="161" t="s">
        <v>1346</v>
      </c>
      <c r="G78" s="160"/>
      <c r="H78" s="158" t="s">
        <v>1272</v>
      </c>
      <c r="I78" s="160" t="s">
        <v>1347</v>
      </c>
      <c r="J78" s="160" t="s">
        <v>803</v>
      </c>
      <c r="K78" s="160"/>
      <c r="L78" s="170">
        <v>42313</v>
      </c>
      <c r="M78" s="160" t="s">
        <v>780</v>
      </c>
      <c r="N78" s="187" t="s">
        <v>1348</v>
      </c>
      <c r="O78" s="160" t="s">
        <v>794</v>
      </c>
      <c r="P78" s="163">
        <v>23190</v>
      </c>
      <c r="Q78" s="160">
        <f ca="1">IF(N78="","",IF(AND(LEN(N78)&lt;&gt;15,LEN(N78)&lt;&gt;18),"错误",ROUNDDOWN((NOW()-P78)/365,0)))</f>
        <v>62</v>
      </c>
      <c r="R78" s="165" t="s">
        <v>1001</v>
      </c>
      <c r="S78" s="160" t="s">
        <v>1349</v>
      </c>
      <c r="T78" s="160"/>
      <c r="U78" s="160"/>
      <c r="V78" s="160" t="s">
        <v>1350</v>
      </c>
      <c r="W78" s="160"/>
      <c r="X78" s="160"/>
      <c r="Y78" s="160"/>
      <c r="Z78" s="160"/>
      <c r="AA78" s="166"/>
      <c r="AB78" s="188">
        <v>13240058588</v>
      </c>
      <c r="AC78" s="188"/>
      <c r="AD78" s="172"/>
      <c r="AE78" s="167" t="s">
        <v>1351</v>
      </c>
      <c r="AF78" s="168" t="s">
        <v>1352</v>
      </c>
      <c r="AG78" s="167" t="s">
        <v>1353</v>
      </c>
      <c r="AH78" s="168">
        <v>17710723301</v>
      </c>
      <c r="AI78" s="167" t="s">
        <v>1035</v>
      </c>
      <c r="AJ78" s="167" t="s">
        <v>100</v>
      </c>
      <c r="AK78" s="167"/>
      <c r="AL78" s="170">
        <v>42313</v>
      </c>
      <c r="AM78" s="163">
        <v>42678</v>
      </c>
      <c r="AN78" s="174">
        <f ca="1">ROUND(AM78-NOW(),0)</f>
        <v>-3374</v>
      </c>
      <c r="AO78" s="167"/>
      <c r="AP78" s="160"/>
      <c r="AQ78" s="158"/>
    </row>
    <row r="79" s="85" customFormat="1" customHeight="1" spans="1:44">
      <c r="A79" s="122">
        <v>78</v>
      </c>
      <c r="B79" s="140">
        <v>42387</v>
      </c>
      <c r="C79" s="139" t="s">
        <v>1026</v>
      </c>
      <c r="D79" s="137"/>
      <c r="E79" s="137"/>
      <c r="F79" s="141" t="s">
        <v>1354</v>
      </c>
      <c r="G79" s="141" t="s">
        <v>1355</v>
      </c>
      <c r="H79" s="137" t="s">
        <v>1356</v>
      </c>
      <c r="I79" s="139" t="s">
        <v>1357</v>
      </c>
      <c r="J79" s="139" t="s">
        <v>1227</v>
      </c>
      <c r="K79" s="139" t="s">
        <v>227</v>
      </c>
      <c r="L79" s="140">
        <v>42191</v>
      </c>
      <c r="M79" s="139" t="str">
        <f ca="1" t="shared" ref="M79:M110" si="2">IF(L79="","",DATEDIF(L79,NOW(),"Y")&amp;"年"&amp;MOD(DATEDIF(L79,NOW(),"M"),12)&amp;"个月")</f>
        <v>10年6个月</v>
      </c>
      <c r="N79" s="181" t="s">
        <v>1358</v>
      </c>
      <c r="O79" s="139" t="str">
        <f>IF(MOD(MID(N79,17,1),2),"男","女")</f>
        <v>女</v>
      </c>
      <c r="P79" s="142">
        <f>IF(N79="","",IF(AND(LEN(N79)&lt;&gt;15,LEN(N79)&lt;&gt;18),"错误",IF(LEN(N79)=15,DATE(MID(N79,7,2),MID(N79,9,2),MID(N79,11,2)),DATE(MID(N79,7,4),MID(N79,11,2),MID(N79,13,2)))))</f>
        <v>30873</v>
      </c>
      <c r="Q79" s="139">
        <f ca="1">YEAR(NOW())-MID(N79,7,4)</f>
        <v>42</v>
      </c>
      <c r="R79" s="151" t="s">
        <v>1001</v>
      </c>
      <c r="S79" s="139" t="s">
        <v>879</v>
      </c>
      <c r="T79" s="139" t="s">
        <v>1292</v>
      </c>
      <c r="U79" s="139" t="s">
        <v>1359</v>
      </c>
      <c r="V79" s="139" t="s">
        <v>1360</v>
      </c>
      <c r="W79" s="139" t="s">
        <v>1318</v>
      </c>
      <c r="X79" s="139" t="s">
        <v>1006</v>
      </c>
      <c r="Y79" s="139" t="s">
        <v>1361</v>
      </c>
      <c r="Z79" s="139" t="s">
        <v>1362</v>
      </c>
      <c r="AA79" s="152">
        <v>39600</v>
      </c>
      <c r="AB79" s="185">
        <v>18969058842</v>
      </c>
      <c r="AC79" s="208"/>
      <c r="AD79" s="186" t="s">
        <v>1363</v>
      </c>
      <c r="AE79" s="149" t="s">
        <v>1364</v>
      </c>
      <c r="AF79" s="153" t="s">
        <v>1365</v>
      </c>
      <c r="AG79" s="149" t="s">
        <v>1167</v>
      </c>
      <c r="AH79" s="153">
        <v>18605811186</v>
      </c>
      <c r="AI79" s="149"/>
      <c r="AJ79" s="149"/>
      <c r="AK79" s="149"/>
      <c r="AL79" s="140"/>
      <c r="AM79" s="142"/>
      <c r="AN79" s="148"/>
      <c r="AO79" s="149"/>
      <c r="AP79" s="139"/>
      <c r="AQ79" s="137"/>
    </row>
    <row r="80" s="86" customFormat="1" customHeight="1" spans="1:44">
      <c r="A80" s="122">
        <v>79</v>
      </c>
      <c r="B80" s="170">
        <v>42387</v>
      </c>
      <c r="C80" s="160" t="s">
        <v>1026</v>
      </c>
      <c r="D80" s="158"/>
      <c r="E80" s="158"/>
      <c r="F80" s="161" t="s">
        <v>1366</v>
      </c>
      <c r="G80" s="161" t="s">
        <v>1224</v>
      </c>
      <c r="H80" s="158" t="s">
        <v>1367</v>
      </c>
      <c r="I80" s="160" t="s">
        <v>27</v>
      </c>
      <c r="J80" s="160" t="s">
        <v>1227</v>
      </c>
      <c r="K80" s="160" t="s">
        <v>227</v>
      </c>
      <c r="L80" s="170">
        <v>42354</v>
      </c>
      <c r="M80" s="160" t="str">
        <f ca="1" t="shared" si="2"/>
        <v>10年1个月</v>
      </c>
      <c r="N80" s="187" t="s">
        <v>1368</v>
      </c>
      <c r="O80" s="160" t="str">
        <f>IF(MOD(MID(N80,17,1),2),"男","女")</f>
        <v>男</v>
      </c>
      <c r="P80" s="163">
        <f>IF(N80="","",IF(AND(LEN(N80)&lt;&gt;15,LEN(N80)&lt;&gt;18),"错误",IF(LEN(N80)=15,DATE(MID(N80,7,2),MID(N80,9,2),MID(N80,11,2)),DATE(MID(N80,7,4),MID(N80,11,2),MID(N80,13,2)))))</f>
        <v>33594</v>
      </c>
      <c r="Q80" s="160">
        <f ca="1">YEAR(NOW())-MID(N80,7,4)</f>
        <v>35</v>
      </c>
      <c r="R80" s="165" t="s">
        <v>1001</v>
      </c>
      <c r="S80" s="160" t="s">
        <v>785</v>
      </c>
      <c r="T80" s="160" t="s">
        <v>1002</v>
      </c>
      <c r="U80" s="160" t="s">
        <v>1369</v>
      </c>
      <c r="V80" s="160" t="s">
        <v>1370</v>
      </c>
      <c r="W80" s="160" t="s">
        <v>1371</v>
      </c>
      <c r="X80" s="160" t="s">
        <v>789</v>
      </c>
      <c r="Y80" s="160" t="s">
        <v>1293</v>
      </c>
      <c r="Z80" s="160" t="s">
        <v>1232</v>
      </c>
      <c r="AA80" s="166"/>
      <c r="AB80" s="171">
        <v>18768127606</v>
      </c>
      <c r="AC80" s="209"/>
      <c r="AD80" s="172" t="s">
        <v>1372</v>
      </c>
      <c r="AE80" s="167" t="s">
        <v>1373</v>
      </c>
      <c r="AF80" s="168" t="s">
        <v>1374</v>
      </c>
      <c r="AG80" s="167" t="s">
        <v>1011</v>
      </c>
      <c r="AH80" s="168">
        <v>13655707446</v>
      </c>
      <c r="AI80" s="167"/>
      <c r="AJ80" s="167"/>
      <c r="AK80" s="167"/>
      <c r="AL80" s="170"/>
      <c r="AM80" s="163"/>
      <c r="AN80" s="174"/>
      <c r="AO80" s="167"/>
      <c r="AP80" s="160"/>
      <c r="AQ80" s="158"/>
    </row>
    <row r="81" s="86" customFormat="1" customHeight="1" spans="1:44">
      <c r="A81" s="122">
        <v>80</v>
      </c>
      <c r="B81" s="170">
        <v>42387</v>
      </c>
      <c r="C81" s="160" t="s">
        <v>1026</v>
      </c>
      <c r="D81" s="158"/>
      <c r="E81" s="158"/>
      <c r="F81" s="161" t="s">
        <v>1375</v>
      </c>
      <c r="G81" s="161" t="s">
        <v>1224</v>
      </c>
      <c r="H81" s="158" t="s">
        <v>1367</v>
      </c>
      <c r="I81" s="160" t="s">
        <v>27</v>
      </c>
      <c r="J81" s="160" t="s">
        <v>1227</v>
      </c>
      <c r="K81" s="160" t="s">
        <v>227</v>
      </c>
      <c r="L81" s="170">
        <v>42367</v>
      </c>
      <c r="M81" s="160" t="str">
        <f ca="1" t="shared" si="2"/>
        <v>10年1个月</v>
      </c>
      <c r="N81" s="187" t="s">
        <v>1376</v>
      </c>
      <c r="O81" s="160" t="str">
        <f>IF(MOD(MID(N81,17,1),2),"男","女")</f>
        <v>男</v>
      </c>
      <c r="P81" s="163">
        <f>IF(N81="","",IF(AND(LEN(N81)&lt;&gt;15,LEN(N81)&lt;&gt;18),"错误",IF(LEN(N81)=15,DATE(MID(N81,7,2),MID(N81,9,2),MID(N81,11,2)),DATE(MID(N81,7,4),MID(N81,11,2),MID(N81,13,2)))))</f>
        <v>33176</v>
      </c>
      <c r="Q81" s="160">
        <f ca="1">YEAR(NOW())-MID(N81,7,4)</f>
        <v>36</v>
      </c>
      <c r="R81" s="165" t="s">
        <v>1001</v>
      </c>
      <c r="S81" s="160" t="s">
        <v>785</v>
      </c>
      <c r="T81" s="160" t="s">
        <v>1002</v>
      </c>
      <c r="U81" s="160" t="s">
        <v>1377</v>
      </c>
      <c r="V81" s="160" t="s">
        <v>1378</v>
      </c>
      <c r="W81" s="160" t="s">
        <v>1379</v>
      </c>
      <c r="X81" s="160" t="s">
        <v>974</v>
      </c>
      <c r="Y81" s="160" t="s">
        <v>1380</v>
      </c>
      <c r="Z81" s="160" t="s">
        <v>1381</v>
      </c>
      <c r="AA81" s="166"/>
      <c r="AB81" s="171">
        <v>15988860269</v>
      </c>
      <c r="AC81" s="209"/>
      <c r="AD81" s="172" t="s">
        <v>1382</v>
      </c>
      <c r="AE81" s="167" t="s">
        <v>1383</v>
      </c>
      <c r="AF81" s="168" t="s">
        <v>1384</v>
      </c>
      <c r="AG81" s="167" t="s">
        <v>1046</v>
      </c>
      <c r="AH81" s="168">
        <v>13970531456</v>
      </c>
      <c r="AI81" s="167"/>
      <c r="AJ81" s="167"/>
      <c r="AK81" s="167"/>
      <c r="AL81" s="170"/>
      <c r="AM81" s="163"/>
      <c r="AN81" s="174"/>
      <c r="AO81" s="167"/>
      <c r="AP81" s="160"/>
      <c r="AQ81" s="158"/>
    </row>
    <row r="82" s="85" customFormat="1" customHeight="1" spans="1:44">
      <c r="A82" s="122">
        <v>81</v>
      </c>
      <c r="B82" s="140">
        <v>42388</v>
      </c>
      <c r="C82" s="139" t="s">
        <v>1026</v>
      </c>
      <c r="D82" s="137"/>
      <c r="E82" s="137"/>
      <c r="F82" s="141" t="s">
        <v>1385</v>
      </c>
      <c r="G82" s="141" t="s">
        <v>1355</v>
      </c>
      <c r="H82" s="137" t="s">
        <v>1386</v>
      </c>
      <c r="I82" s="139" t="s">
        <v>415</v>
      </c>
      <c r="J82" s="139" t="s">
        <v>1227</v>
      </c>
      <c r="K82" s="139" t="s">
        <v>227</v>
      </c>
      <c r="L82" s="140">
        <v>42339</v>
      </c>
      <c r="M82" s="139" t="str">
        <f ca="1" t="shared" si="2"/>
        <v>10年1个月</v>
      </c>
      <c r="N82" s="181" t="s">
        <v>1387</v>
      </c>
      <c r="O82" s="139" t="str">
        <f>IF(MOD(MID(N82,17,1),2),"男","女")</f>
        <v>女</v>
      </c>
      <c r="P82" s="142">
        <f>IF(N82="","",IF(AND(LEN(N82)&lt;&gt;15,LEN(N82)&lt;&gt;18),"错误",IF(LEN(N82)=15,DATE(MID(N82,7,2),MID(N82,9,2),MID(N82,11,2)),DATE(MID(N82,7,4),MID(N82,11,2),MID(N82,13,2)))))</f>
        <v>33071</v>
      </c>
      <c r="Q82" s="139">
        <f ca="1">YEAR(NOW())-MID(N82,7,4)</f>
        <v>36</v>
      </c>
      <c r="R82" s="151" t="s">
        <v>1001</v>
      </c>
      <c r="S82" s="139" t="s">
        <v>785</v>
      </c>
      <c r="T82" s="139" t="s">
        <v>1002</v>
      </c>
      <c r="U82" s="139" t="s">
        <v>1388</v>
      </c>
      <c r="V82" s="139" t="s">
        <v>1389</v>
      </c>
      <c r="W82" s="139" t="s">
        <v>1318</v>
      </c>
      <c r="X82" s="139" t="s">
        <v>789</v>
      </c>
      <c r="Y82" s="139" t="s">
        <v>1390</v>
      </c>
      <c r="Z82" s="139" t="s">
        <v>1240</v>
      </c>
      <c r="AA82" s="152">
        <v>41456</v>
      </c>
      <c r="AB82" s="184" t="s">
        <v>1391</v>
      </c>
      <c r="AC82" s="141"/>
      <c r="AD82" s="207" t="s">
        <v>1392</v>
      </c>
      <c r="AE82" s="149" t="s">
        <v>1393</v>
      </c>
      <c r="AF82" s="153" t="s">
        <v>1394</v>
      </c>
      <c r="AG82" s="149" t="s">
        <v>1046</v>
      </c>
      <c r="AH82" s="153">
        <v>13805831887</v>
      </c>
      <c r="AI82" s="149"/>
      <c r="AJ82" s="149"/>
      <c r="AK82" s="149"/>
      <c r="AL82" s="140"/>
      <c r="AM82" s="142"/>
      <c r="AN82" s="148"/>
      <c r="AO82" s="149"/>
      <c r="AP82" s="139"/>
      <c r="AQ82" s="137"/>
    </row>
    <row r="83" s="87" customFormat="1" customHeight="1" spans="1:44">
      <c r="A83" s="122">
        <v>82</v>
      </c>
      <c r="B83" s="126">
        <v>42430</v>
      </c>
      <c r="C83" s="125" t="s">
        <v>1026</v>
      </c>
      <c r="D83" s="125" t="s">
        <v>1395</v>
      </c>
      <c r="E83" s="125" t="s">
        <v>1396</v>
      </c>
      <c r="F83" s="127" t="s">
        <v>1397</v>
      </c>
      <c r="G83" s="125"/>
      <c r="H83" s="123" t="s">
        <v>1398</v>
      </c>
      <c r="I83" s="125" t="s">
        <v>27</v>
      </c>
      <c r="J83" s="125" t="s">
        <v>803</v>
      </c>
      <c r="K83" s="125"/>
      <c r="L83" s="126">
        <v>42345</v>
      </c>
      <c r="M83" s="125" t="str">
        <f ca="1" t="shared" si="2"/>
        <v>10年1个月</v>
      </c>
      <c r="N83" s="183" t="s">
        <v>1399</v>
      </c>
      <c r="O83" s="125" t="s">
        <v>794</v>
      </c>
      <c r="P83" s="128">
        <v>32643</v>
      </c>
      <c r="Q83" s="125">
        <v>26</v>
      </c>
      <c r="R83" s="155" t="s">
        <v>1001</v>
      </c>
      <c r="S83" s="125" t="s">
        <v>785</v>
      </c>
      <c r="T83" s="125" t="s">
        <v>1002</v>
      </c>
      <c r="U83" s="125" t="s">
        <v>1400</v>
      </c>
      <c r="V83" s="125" t="s">
        <v>1401</v>
      </c>
      <c r="W83" s="125" t="s">
        <v>1005</v>
      </c>
      <c r="X83" s="125" t="s">
        <v>974</v>
      </c>
      <c r="Y83" s="125" t="s">
        <v>1402</v>
      </c>
      <c r="Z83" s="125" t="s">
        <v>1381</v>
      </c>
      <c r="AA83" s="156">
        <v>42552</v>
      </c>
      <c r="AB83" s="177">
        <v>15650703627</v>
      </c>
      <c r="AC83" s="177"/>
      <c r="AD83" s="178" t="s">
        <v>1403</v>
      </c>
      <c r="AE83" s="136" t="s">
        <v>1404</v>
      </c>
      <c r="AF83" s="157" t="s">
        <v>1405</v>
      </c>
      <c r="AG83" s="136" t="s">
        <v>1406</v>
      </c>
      <c r="AH83" s="157">
        <v>13985222989</v>
      </c>
      <c r="AI83" s="136" t="s">
        <v>1087</v>
      </c>
      <c r="AJ83" s="136" t="s">
        <v>1131</v>
      </c>
      <c r="AK83" s="136"/>
      <c r="AL83" s="126"/>
      <c r="AM83" s="128"/>
      <c r="AN83" s="135"/>
      <c r="AO83" s="136"/>
      <c r="AP83" s="125"/>
      <c r="AQ83" s="123"/>
    </row>
    <row r="84" s="87" customFormat="1" customHeight="1" spans="1:44">
      <c r="A84" s="122">
        <v>83</v>
      </c>
      <c r="B84" s="126">
        <v>42432</v>
      </c>
      <c r="C84" s="125" t="s">
        <v>1013</v>
      </c>
      <c r="D84" s="125" t="s">
        <v>1407</v>
      </c>
      <c r="E84" s="125" t="s">
        <v>1015</v>
      </c>
      <c r="F84" s="127" t="s">
        <v>1408</v>
      </c>
      <c r="G84" s="125"/>
      <c r="H84" s="123" t="s">
        <v>1409</v>
      </c>
      <c r="I84" s="125" t="s">
        <v>27</v>
      </c>
      <c r="J84" s="125" t="s">
        <v>803</v>
      </c>
      <c r="K84" s="125"/>
      <c r="L84" s="126">
        <v>42193</v>
      </c>
      <c r="M84" s="125" t="str">
        <f ca="1" t="shared" si="2"/>
        <v>10年6个月</v>
      </c>
      <c r="N84" s="183" t="s">
        <v>1410</v>
      </c>
      <c r="O84" s="125" t="s">
        <v>782</v>
      </c>
      <c r="P84" s="128">
        <v>34700</v>
      </c>
      <c r="Q84" s="125">
        <f ca="1">IF(N84="","",IF(AND(LEN(N84)&lt;&gt;15,LEN(N84)&lt;&gt;18),"错误",ROUNDDOWN((NOW()-P84)/365,0)))</f>
        <v>31</v>
      </c>
      <c r="R84" s="155" t="s">
        <v>1001</v>
      </c>
      <c r="S84" s="125" t="s">
        <v>785</v>
      </c>
      <c r="T84" s="125" t="s">
        <v>1002</v>
      </c>
      <c r="U84" s="125" t="s">
        <v>1003</v>
      </c>
      <c r="V84" s="125" t="s">
        <v>1411</v>
      </c>
      <c r="W84" s="125" t="s">
        <v>1005</v>
      </c>
      <c r="X84" s="125" t="s">
        <v>1006</v>
      </c>
      <c r="Y84" s="125" t="s">
        <v>1031</v>
      </c>
      <c r="Z84" s="125" t="s">
        <v>824</v>
      </c>
      <c r="AA84" s="156">
        <v>42887</v>
      </c>
      <c r="AB84" s="176">
        <v>13021258047</v>
      </c>
      <c r="AC84" s="177"/>
      <c r="AD84" s="178" t="s">
        <v>1412</v>
      </c>
      <c r="AE84" s="136" t="s">
        <v>1413</v>
      </c>
      <c r="AF84" s="157" t="s">
        <v>1414</v>
      </c>
      <c r="AG84" s="136" t="s">
        <v>1011</v>
      </c>
      <c r="AH84" s="157">
        <v>13308190557</v>
      </c>
      <c r="AI84" s="136" t="s">
        <v>1035</v>
      </c>
      <c r="AJ84" s="136" t="s">
        <v>28</v>
      </c>
      <c r="AK84" s="136"/>
      <c r="AL84" s="126"/>
      <c r="AM84" s="128"/>
      <c r="AN84" s="135"/>
      <c r="AO84" s="136"/>
      <c r="AP84" s="125"/>
      <c r="AQ84" s="123"/>
    </row>
    <row r="85" s="87" customFormat="1" customHeight="1" spans="1:44">
      <c r="A85" s="122">
        <v>84</v>
      </c>
      <c r="B85" s="126">
        <v>42433</v>
      </c>
      <c r="C85" s="125" t="s">
        <v>1026</v>
      </c>
      <c r="D85" s="125" t="s">
        <v>1415</v>
      </c>
      <c r="E85" s="125" t="s">
        <v>997</v>
      </c>
      <c r="F85" s="127" t="s">
        <v>1416</v>
      </c>
      <c r="G85" s="125"/>
      <c r="H85" s="123" t="s">
        <v>1281</v>
      </c>
      <c r="I85" s="125" t="s">
        <v>27</v>
      </c>
      <c r="J85" s="125" t="s">
        <v>803</v>
      </c>
      <c r="K85" s="125"/>
      <c r="L85" s="126">
        <v>42184</v>
      </c>
      <c r="M85" s="125" t="str">
        <f ca="1" t="shared" si="2"/>
        <v>10年7个月</v>
      </c>
      <c r="N85" s="183" t="s">
        <v>1417</v>
      </c>
      <c r="O85" s="125" t="s">
        <v>782</v>
      </c>
      <c r="P85" s="128">
        <v>35054</v>
      </c>
      <c r="Q85" s="125">
        <f ca="1">IF(N85="","",IF(AND(LEN(N85)&lt;&gt;15,LEN(N85)&lt;&gt;18),"错误",ROUNDDOWN((NOW()-P85)/365,0)))</f>
        <v>30</v>
      </c>
      <c r="R85" s="155" t="s">
        <v>1001</v>
      </c>
      <c r="S85" s="125" t="s">
        <v>785</v>
      </c>
      <c r="T85" s="125" t="s">
        <v>1002</v>
      </c>
      <c r="U85" s="125" t="s">
        <v>1418</v>
      </c>
      <c r="V85" s="125" t="s">
        <v>1419</v>
      </c>
      <c r="W85" s="125" t="s">
        <v>1005</v>
      </c>
      <c r="X85" s="125" t="s">
        <v>1006</v>
      </c>
      <c r="Y85" s="125" t="s">
        <v>1031</v>
      </c>
      <c r="Z85" s="125" t="s">
        <v>1420</v>
      </c>
      <c r="AA85" s="156">
        <v>42917</v>
      </c>
      <c r="AB85" s="176">
        <v>18036888038</v>
      </c>
      <c r="AC85" s="177"/>
      <c r="AD85" s="178" t="s">
        <v>1421</v>
      </c>
      <c r="AE85" s="136" t="s">
        <v>1419</v>
      </c>
      <c r="AF85" s="157" t="s">
        <v>1422</v>
      </c>
      <c r="AG85" s="136" t="s">
        <v>1046</v>
      </c>
      <c r="AH85" s="157">
        <v>18018370006</v>
      </c>
      <c r="AI85" s="136" t="s">
        <v>1035</v>
      </c>
      <c r="AJ85" s="136" t="s">
        <v>28</v>
      </c>
      <c r="AK85" s="136"/>
      <c r="AL85" s="126"/>
      <c r="AM85" s="128"/>
      <c r="AN85" s="135"/>
      <c r="AO85" s="136"/>
      <c r="AP85" s="125"/>
      <c r="AQ85" s="123"/>
    </row>
    <row r="86" s="87" customFormat="1" customHeight="1" spans="1:44">
      <c r="A86" s="122">
        <v>85</v>
      </c>
      <c r="B86" s="126">
        <v>42433</v>
      </c>
      <c r="C86" s="125" t="s">
        <v>1026</v>
      </c>
      <c r="D86" s="125" t="s">
        <v>1415</v>
      </c>
      <c r="E86" s="125" t="s">
        <v>997</v>
      </c>
      <c r="F86" s="127" t="s">
        <v>1423</v>
      </c>
      <c r="G86" s="125"/>
      <c r="H86" s="123" t="s">
        <v>1281</v>
      </c>
      <c r="I86" s="125" t="s">
        <v>27</v>
      </c>
      <c r="J86" s="125" t="s">
        <v>803</v>
      </c>
      <c r="K86" s="125"/>
      <c r="L86" s="126">
        <v>42185</v>
      </c>
      <c r="M86" s="125" t="str">
        <f ca="1" t="shared" si="2"/>
        <v>10年6个月</v>
      </c>
      <c r="N86" s="183" t="s">
        <v>1424</v>
      </c>
      <c r="O86" s="125" t="s">
        <v>782</v>
      </c>
      <c r="P86" s="128">
        <v>34734</v>
      </c>
      <c r="Q86" s="125">
        <f ca="1">IF(N86="","",IF(AND(LEN(N86)&lt;&gt;15,LEN(N86)&lt;&gt;18),"错误",ROUNDDOWN((NOW()-P86)/365,0)))</f>
        <v>31</v>
      </c>
      <c r="R86" s="155" t="s">
        <v>784</v>
      </c>
      <c r="S86" s="125" t="s">
        <v>785</v>
      </c>
      <c r="T86" s="125" t="s">
        <v>1002</v>
      </c>
      <c r="U86" s="125" t="s">
        <v>348</v>
      </c>
      <c r="V86" s="125" t="s">
        <v>1425</v>
      </c>
      <c r="W86" s="125" t="s">
        <v>1005</v>
      </c>
      <c r="X86" s="125" t="s">
        <v>1006</v>
      </c>
      <c r="Y86" s="125" t="s">
        <v>1031</v>
      </c>
      <c r="Z86" s="125" t="s">
        <v>1420</v>
      </c>
      <c r="AA86" s="156">
        <v>42948</v>
      </c>
      <c r="AB86" s="176">
        <v>18810917884</v>
      </c>
      <c r="AC86" s="177"/>
      <c r="AD86" s="178" t="s">
        <v>1426</v>
      </c>
      <c r="AE86" s="136" t="s">
        <v>1427</v>
      </c>
      <c r="AF86" s="157" t="s">
        <v>1428</v>
      </c>
      <c r="AG86" s="136" t="s">
        <v>1046</v>
      </c>
      <c r="AH86" s="157">
        <v>13601770760</v>
      </c>
      <c r="AI86" s="136" t="s">
        <v>1035</v>
      </c>
      <c r="AJ86" s="136" t="s">
        <v>28</v>
      </c>
      <c r="AK86" s="136"/>
      <c r="AL86" s="126"/>
      <c r="AM86" s="128"/>
      <c r="AN86" s="135"/>
      <c r="AO86" s="136"/>
      <c r="AP86" s="125"/>
      <c r="AQ86" s="123"/>
    </row>
    <row r="87" s="87" customFormat="1" customHeight="1" spans="1:44">
      <c r="A87" s="122">
        <v>86</v>
      </c>
      <c r="B87" s="126">
        <v>42433</v>
      </c>
      <c r="C87" s="125" t="s">
        <v>1026</v>
      </c>
      <c r="D87" s="125" t="s">
        <v>1429</v>
      </c>
      <c r="E87" s="125" t="s">
        <v>997</v>
      </c>
      <c r="F87" s="127" t="s">
        <v>1430</v>
      </c>
      <c r="G87" s="125"/>
      <c r="H87" s="123" t="s">
        <v>1431</v>
      </c>
      <c r="I87" s="125" t="s">
        <v>27</v>
      </c>
      <c r="J87" s="125" t="s">
        <v>803</v>
      </c>
      <c r="K87" s="125"/>
      <c r="L87" s="126">
        <v>42261</v>
      </c>
      <c r="M87" s="125" t="str">
        <f ca="1" t="shared" si="2"/>
        <v>10年4个月</v>
      </c>
      <c r="N87" s="183" t="s">
        <v>1432</v>
      </c>
      <c r="O87" s="125" t="s">
        <v>782</v>
      </c>
      <c r="P87" s="128">
        <v>34658</v>
      </c>
      <c r="Q87" s="125">
        <f ca="1">IF(N87="","",IF(AND(LEN(N87)&lt;&gt;15,LEN(N87)&lt;&gt;18),"错误",ROUNDDOWN((NOW()-P87)/365,0)))</f>
        <v>31</v>
      </c>
      <c r="R87" s="155" t="s">
        <v>1001</v>
      </c>
      <c r="S87" s="125" t="s">
        <v>785</v>
      </c>
      <c r="T87" s="125" t="s">
        <v>1002</v>
      </c>
      <c r="U87" s="125" t="s">
        <v>1433</v>
      </c>
      <c r="V87" s="125" t="s">
        <v>1434</v>
      </c>
      <c r="W87" s="125" t="s">
        <v>1005</v>
      </c>
      <c r="X87" s="125" t="s">
        <v>1006</v>
      </c>
      <c r="Y87" s="125" t="s">
        <v>1435</v>
      </c>
      <c r="Z87" s="125" t="s">
        <v>1218</v>
      </c>
      <c r="AA87" s="156">
        <v>42917</v>
      </c>
      <c r="AB87" s="176">
        <v>13261738161</v>
      </c>
      <c r="AC87" s="177"/>
      <c r="AD87" s="178" t="s">
        <v>1436</v>
      </c>
      <c r="AE87" s="136" t="s">
        <v>1437</v>
      </c>
      <c r="AF87" s="157" t="s">
        <v>1438</v>
      </c>
      <c r="AG87" s="136" t="s">
        <v>1011</v>
      </c>
      <c r="AH87" s="157">
        <v>15950325198</v>
      </c>
      <c r="AI87" s="136" t="s">
        <v>1035</v>
      </c>
      <c r="AJ87" s="136" t="s">
        <v>1439</v>
      </c>
      <c r="AK87" s="136"/>
      <c r="AL87" s="126"/>
      <c r="AM87" s="128"/>
      <c r="AN87" s="135"/>
      <c r="AO87" s="136"/>
      <c r="AP87" s="125"/>
      <c r="AQ87" s="123"/>
    </row>
    <row r="88" s="85" customFormat="1" customHeight="1" spans="1:44">
      <c r="A88" s="122">
        <v>87</v>
      </c>
      <c r="B88" s="140">
        <v>42433</v>
      </c>
      <c r="C88" s="139" t="s">
        <v>1026</v>
      </c>
      <c r="D88" s="137"/>
      <c r="E88" s="137"/>
      <c r="F88" s="141" t="s">
        <v>1440</v>
      </c>
      <c r="G88" s="141" t="s">
        <v>1224</v>
      </c>
      <c r="H88" s="137" t="s">
        <v>1325</v>
      </c>
      <c r="I88" s="139" t="s">
        <v>1226</v>
      </c>
      <c r="J88" s="139" t="s">
        <v>1227</v>
      </c>
      <c r="K88" s="139" t="s">
        <v>227</v>
      </c>
      <c r="L88" s="140">
        <v>42312</v>
      </c>
      <c r="M88" s="139" t="str">
        <f ca="1" t="shared" si="2"/>
        <v>10年2个月</v>
      </c>
      <c r="N88" s="181" t="s">
        <v>1441</v>
      </c>
      <c r="O88" s="139" t="str">
        <f>IF(MOD(MID(N88,17,1),2),"男","女")</f>
        <v>男</v>
      </c>
      <c r="P88" s="142">
        <f>IF(N88="","",IF(AND(LEN(N88)&lt;&gt;15,LEN(N88)&lt;&gt;18),"错误",IF(LEN(N88)=15,DATE(MID(N88,7,2),MID(N88,9,2),MID(N88,11,2)),DATE(MID(N88,7,4),MID(N88,11,2),MID(N88,13,2)))))</f>
        <v>32660</v>
      </c>
      <c r="Q88" s="139">
        <f ca="1">YEAR(NOW())-MID(N88,7,4)</f>
        <v>37</v>
      </c>
      <c r="R88" s="151" t="s">
        <v>1001</v>
      </c>
      <c r="S88" s="139" t="s">
        <v>879</v>
      </c>
      <c r="T88" s="139" t="s">
        <v>1051</v>
      </c>
      <c r="U88" s="139" t="s">
        <v>1442</v>
      </c>
      <c r="V88" s="139" t="s">
        <v>1443</v>
      </c>
      <c r="W88" s="139" t="s">
        <v>1444</v>
      </c>
      <c r="X88" s="139" t="s">
        <v>789</v>
      </c>
      <c r="Y88" s="139" t="s">
        <v>1445</v>
      </c>
      <c r="Z88" s="139" t="s">
        <v>824</v>
      </c>
      <c r="AA88" s="152">
        <v>40359</v>
      </c>
      <c r="AB88" s="184" t="s">
        <v>1446</v>
      </c>
      <c r="AC88" s="208" t="s">
        <v>1447</v>
      </c>
      <c r="AD88" s="186" t="s">
        <v>1448</v>
      </c>
      <c r="AE88" s="149" t="s">
        <v>1449</v>
      </c>
      <c r="AF88" s="153" t="s">
        <v>1450</v>
      </c>
      <c r="AG88" s="149" t="s">
        <v>1167</v>
      </c>
      <c r="AH88" s="153">
        <v>13588845070</v>
      </c>
      <c r="AI88" s="149"/>
      <c r="AJ88" s="149"/>
      <c r="AK88" s="149"/>
      <c r="AL88" s="140"/>
      <c r="AM88" s="142"/>
      <c r="AN88" s="148"/>
      <c r="AO88" s="149"/>
      <c r="AP88" s="139"/>
      <c r="AQ88" s="137"/>
    </row>
    <row r="89" s="87" customFormat="1" customHeight="1" spans="1:44">
      <c r="A89" s="122">
        <v>88</v>
      </c>
      <c r="B89" s="128">
        <v>42439</v>
      </c>
      <c r="C89" s="125" t="s">
        <v>1026</v>
      </c>
      <c r="D89" s="125" t="s">
        <v>1451</v>
      </c>
      <c r="E89" s="125" t="s">
        <v>997</v>
      </c>
      <c r="F89" s="127" t="s">
        <v>1452</v>
      </c>
      <c r="G89" s="125"/>
      <c r="H89" s="123" t="s">
        <v>1453</v>
      </c>
      <c r="I89" s="125" t="s">
        <v>27</v>
      </c>
      <c r="J89" s="125" t="s">
        <v>803</v>
      </c>
      <c r="K89" s="125"/>
      <c r="L89" s="126">
        <v>42376</v>
      </c>
      <c r="M89" s="125" t="str">
        <f ca="1" t="shared" si="2"/>
        <v>10年0个月</v>
      </c>
      <c r="N89" s="183" t="s">
        <v>1454</v>
      </c>
      <c r="O89" s="125" t="s">
        <v>782</v>
      </c>
      <c r="P89" s="128">
        <v>34695</v>
      </c>
      <c r="Q89" s="125">
        <v>21</v>
      </c>
      <c r="R89" s="155" t="s">
        <v>1001</v>
      </c>
      <c r="S89" s="125" t="s">
        <v>785</v>
      </c>
      <c r="T89" s="125" t="s">
        <v>1002</v>
      </c>
      <c r="U89" s="125" t="s">
        <v>1455</v>
      </c>
      <c r="V89" s="125" t="s">
        <v>348</v>
      </c>
      <c r="W89" s="125" t="s">
        <v>1005</v>
      </c>
      <c r="X89" s="125" t="s">
        <v>1006</v>
      </c>
      <c r="Y89" s="125" t="s">
        <v>1456</v>
      </c>
      <c r="Z89" s="125" t="s">
        <v>1457</v>
      </c>
      <c r="AA89" s="156">
        <v>42887</v>
      </c>
      <c r="AB89" s="176">
        <v>13122116761</v>
      </c>
      <c r="AC89" s="177"/>
      <c r="AD89" s="178" t="s">
        <v>1458</v>
      </c>
      <c r="AE89" s="136" t="s">
        <v>1459</v>
      </c>
      <c r="AF89" s="157" t="s">
        <v>1460</v>
      </c>
      <c r="AG89" s="136" t="s">
        <v>1137</v>
      </c>
      <c r="AH89" s="157">
        <v>13871322128</v>
      </c>
      <c r="AI89" s="136" t="s">
        <v>1084</v>
      </c>
      <c r="AJ89" s="136" t="s">
        <v>1461</v>
      </c>
      <c r="AK89" s="136"/>
      <c r="AL89" s="126"/>
      <c r="AM89" s="128"/>
      <c r="AN89" s="135"/>
      <c r="AO89" s="136"/>
      <c r="AP89" s="125"/>
      <c r="AQ89" s="123"/>
    </row>
    <row r="90" s="85" customFormat="1" customHeight="1" spans="1:44">
      <c r="A90" s="122">
        <v>89</v>
      </c>
      <c r="B90" s="140">
        <v>42440</v>
      </c>
      <c r="C90" s="139" t="s">
        <v>1026</v>
      </c>
      <c r="D90" s="137"/>
      <c r="E90" s="137"/>
      <c r="F90" s="141" t="s">
        <v>1462</v>
      </c>
      <c r="G90" s="141" t="s">
        <v>1224</v>
      </c>
      <c r="H90" s="137" t="s">
        <v>1289</v>
      </c>
      <c r="I90" s="139" t="s">
        <v>241</v>
      </c>
      <c r="J90" s="139" t="s">
        <v>1227</v>
      </c>
      <c r="K90" s="139" t="s">
        <v>227</v>
      </c>
      <c r="L90" s="140">
        <v>42234</v>
      </c>
      <c r="M90" s="139" t="str">
        <f ca="1" t="shared" si="2"/>
        <v>10年5个月</v>
      </c>
      <c r="N90" s="181" t="s">
        <v>1463</v>
      </c>
      <c r="O90" s="139" t="str">
        <f>IF(MOD(MID(N90,17,1),2),"男","女")</f>
        <v>男</v>
      </c>
      <c r="P90" s="142">
        <f>IF(N90="","",IF(AND(LEN(N90)&lt;&gt;15,LEN(N90)&lt;&gt;18),"错误",IF(LEN(N90)=15,DATE(MID(N90,7,2),MID(N90,9,2),MID(N90,11,2)),DATE(MID(N90,7,4),MID(N90,11,2),MID(N90,13,2)))))</f>
        <v>29971</v>
      </c>
      <c r="Q90" s="139">
        <f ca="1">YEAR(NOW())-MID(N90,7,4)</f>
        <v>44</v>
      </c>
      <c r="R90" s="151" t="s">
        <v>1001</v>
      </c>
      <c r="S90" s="139" t="s">
        <v>879</v>
      </c>
      <c r="T90" s="139" t="s">
        <v>1002</v>
      </c>
      <c r="U90" s="139" t="s">
        <v>1464</v>
      </c>
      <c r="V90" s="139" t="s">
        <v>1465</v>
      </c>
      <c r="W90" s="139"/>
      <c r="X90" s="139" t="s">
        <v>974</v>
      </c>
      <c r="Y90" s="139" t="s">
        <v>1466</v>
      </c>
      <c r="Z90" s="139" t="s">
        <v>1093</v>
      </c>
      <c r="AA90" s="152">
        <v>40330</v>
      </c>
      <c r="AB90" s="185">
        <v>18668162595</v>
      </c>
      <c r="AC90" s="208" t="s">
        <v>1467</v>
      </c>
      <c r="AD90" s="186" t="s">
        <v>1468</v>
      </c>
      <c r="AE90" s="149">
        <v>0</v>
      </c>
      <c r="AF90" s="153" t="s">
        <v>1469</v>
      </c>
      <c r="AG90" s="149" t="s">
        <v>1167</v>
      </c>
      <c r="AH90" s="153">
        <v>18072747919</v>
      </c>
      <c r="AI90" s="149" t="s">
        <v>1035</v>
      </c>
      <c r="AJ90" s="149" t="s">
        <v>1470</v>
      </c>
      <c r="AK90" s="149"/>
      <c r="AL90" s="140"/>
      <c r="AM90" s="142"/>
      <c r="AN90" s="148"/>
      <c r="AO90" s="149"/>
      <c r="AP90" s="139"/>
      <c r="AQ90" s="137"/>
    </row>
    <row r="91" s="85" customFormat="1" customHeight="1" spans="1:44">
      <c r="A91" s="122">
        <v>90</v>
      </c>
      <c r="B91" s="140">
        <v>42443</v>
      </c>
      <c r="C91" s="139" t="s">
        <v>1026</v>
      </c>
      <c r="D91" s="137"/>
      <c r="E91" s="137"/>
      <c r="F91" s="141" t="s">
        <v>1471</v>
      </c>
      <c r="G91" s="141" t="s">
        <v>1224</v>
      </c>
      <c r="H91" s="137" t="s">
        <v>1472</v>
      </c>
      <c r="I91" s="139" t="s">
        <v>1226</v>
      </c>
      <c r="J91" s="139" t="s">
        <v>1227</v>
      </c>
      <c r="K91" s="139" t="s">
        <v>227</v>
      </c>
      <c r="L91" s="140">
        <v>42436</v>
      </c>
      <c r="M91" s="139" t="str">
        <f ca="1" t="shared" si="2"/>
        <v>9年10个月</v>
      </c>
      <c r="N91" s="181" t="s">
        <v>1473</v>
      </c>
      <c r="O91" s="139" t="str">
        <f>IF(MOD(MID(N91,17,1),2),"男","女")</f>
        <v>男</v>
      </c>
      <c r="P91" s="142">
        <f>IF(N91="","",IF(AND(LEN(N91)&lt;&gt;15,LEN(N91)&lt;&gt;18),"错误",IF(LEN(N91)=15,DATE(MID(N91,7,2),MID(N91,9,2),MID(N91,11,2)),DATE(MID(N91,7,4),MID(N91,11,2),MID(N91,13,2)))))</f>
        <v>32200</v>
      </c>
      <c r="Q91" s="139">
        <f ca="1">YEAR(NOW())-MID(N91,7,4)</f>
        <v>38</v>
      </c>
      <c r="R91" s="151" t="s">
        <v>1001</v>
      </c>
      <c r="S91" s="139" t="s">
        <v>879</v>
      </c>
      <c r="T91" s="139" t="s">
        <v>1002</v>
      </c>
      <c r="U91" s="139" t="s">
        <v>1474</v>
      </c>
      <c r="V91" s="139" t="s">
        <v>1475</v>
      </c>
      <c r="W91" s="139" t="s">
        <v>1476</v>
      </c>
      <c r="X91" s="139" t="s">
        <v>974</v>
      </c>
      <c r="Y91" s="139" t="s">
        <v>1293</v>
      </c>
      <c r="Z91" s="139" t="s">
        <v>1110</v>
      </c>
      <c r="AA91" s="152"/>
      <c r="AB91" s="184">
        <v>18768197608</v>
      </c>
      <c r="AC91" s="208" t="s">
        <v>1477</v>
      </c>
      <c r="AD91" s="186" t="s">
        <v>1477</v>
      </c>
      <c r="AE91" s="149" t="s">
        <v>1478</v>
      </c>
      <c r="AF91" s="153" t="s">
        <v>1479</v>
      </c>
      <c r="AG91" s="149" t="s">
        <v>1167</v>
      </c>
      <c r="AH91" s="153">
        <v>15067185964</v>
      </c>
      <c r="AI91" s="149"/>
      <c r="AJ91" s="149"/>
      <c r="AK91" s="149"/>
      <c r="AL91" s="140"/>
      <c r="AM91" s="142"/>
      <c r="AN91" s="148"/>
      <c r="AO91" s="149"/>
      <c r="AP91" s="139"/>
      <c r="AQ91" s="137"/>
    </row>
    <row r="92" s="85" customFormat="1" customHeight="1" spans="1:44">
      <c r="A92" s="122">
        <v>91</v>
      </c>
      <c r="B92" s="140">
        <v>42447</v>
      </c>
      <c r="C92" s="139" t="s">
        <v>1026</v>
      </c>
      <c r="D92" s="137"/>
      <c r="E92" s="137"/>
      <c r="F92" s="141" t="s">
        <v>1480</v>
      </c>
      <c r="G92" s="141" t="s">
        <v>1224</v>
      </c>
      <c r="H92" s="137" t="s">
        <v>1225</v>
      </c>
      <c r="I92" s="139" t="s">
        <v>1226</v>
      </c>
      <c r="J92" s="139" t="s">
        <v>1227</v>
      </c>
      <c r="K92" s="139" t="s">
        <v>227</v>
      </c>
      <c r="L92" s="140">
        <v>42205</v>
      </c>
      <c r="M92" s="139" t="str">
        <f ca="1" t="shared" si="2"/>
        <v>10年6个月</v>
      </c>
      <c r="N92" s="181" t="s">
        <v>1481</v>
      </c>
      <c r="O92" s="139" t="str">
        <f>IF(MOD(MID(N92,17,1),2),"男","女")</f>
        <v>男</v>
      </c>
      <c r="P92" s="142">
        <f>IF(N92="","",IF(AND(LEN(N92)&lt;&gt;15,LEN(N92)&lt;&gt;18),"错误",IF(LEN(N92)=15,DATE(MID(N92,7,2),MID(N92,9,2),MID(N92,11,2)),DATE(MID(N92,7,4),MID(N92,11,2),MID(N92,13,2)))))</f>
        <v>31719</v>
      </c>
      <c r="Q92" s="139">
        <f ca="1">YEAR(NOW())-MID(N92,7,4)</f>
        <v>40</v>
      </c>
      <c r="R92" s="151" t="s">
        <v>1001</v>
      </c>
      <c r="S92" s="139" t="s">
        <v>879</v>
      </c>
      <c r="T92" s="139" t="s">
        <v>1002</v>
      </c>
      <c r="U92" s="139" t="s">
        <v>1482</v>
      </c>
      <c r="V92" s="139" t="s">
        <v>1483</v>
      </c>
      <c r="W92" s="139"/>
      <c r="X92" s="139" t="s">
        <v>974</v>
      </c>
      <c r="Y92" s="139" t="s">
        <v>1162</v>
      </c>
      <c r="Z92" s="139" t="s">
        <v>1484</v>
      </c>
      <c r="AA92" s="152">
        <v>41000</v>
      </c>
      <c r="AB92" s="184">
        <v>18668185825</v>
      </c>
      <c r="AC92" s="208" t="s">
        <v>1485</v>
      </c>
      <c r="AD92" s="186" t="s">
        <v>1486</v>
      </c>
      <c r="AE92" s="149" t="s">
        <v>1487</v>
      </c>
      <c r="AF92" s="153" t="s">
        <v>1488</v>
      </c>
      <c r="AG92" s="149" t="s">
        <v>1167</v>
      </c>
      <c r="AH92" s="153">
        <v>15336599526</v>
      </c>
      <c r="AI92" s="149"/>
      <c r="AJ92" s="149"/>
      <c r="AK92" s="149"/>
      <c r="AL92" s="140"/>
      <c r="AM92" s="142"/>
      <c r="AN92" s="148"/>
      <c r="AO92" s="149"/>
      <c r="AP92" s="139"/>
      <c r="AQ92" s="137"/>
      <c r="AR92" s="94"/>
    </row>
    <row r="93" s="86" customFormat="1" customHeight="1" spans="1:44">
      <c r="A93" s="122">
        <v>92</v>
      </c>
      <c r="B93" s="170">
        <v>42450</v>
      </c>
      <c r="C93" s="160" t="s">
        <v>1026</v>
      </c>
      <c r="D93" s="158"/>
      <c r="E93" s="158"/>
      <c r="F93" s="161" t="s">
        <v>1489</v>
      </c>
      <c r="G93" s="161" t="s">
        <v>1224</v>
      </c>
      <c r="H93" s="158" t="s">
        <v>1325</v>
      </c>
      <c r="I93" s="160" t="s">
        <v>27</v>
      </c>
      <c r="J93" s="160" t="s">
        <v>1227</v>
      </c>
      <c r="K93" s="160" t="s">
        <v>227</v>
      </c>
      <c r="L93" s="170">
        <v>42382</v>
      </c>
      <c r="M93" s="160" t="str">
        <f ca="1" t="shared" si="2"/>
        <v>10年0个月</v>
      </c>
      <c r="N93" s="187" t="s">
        <v>1490</v>
      </c>
      <c r="O93" s="160" t="str">
        <f>IF(MOD(MID(N93,17,1),2),"男","女")</f>
        <v>男</v>
      </c>
      <c r="P93" s="163">
        <f>IF(N93="","",IF(AND(LEN(N93)&lt;&gt;15,LEN(N93)&lt;&gt;18),"错误",IF(LEN(N93)=15,DATE(MID(N93,7,2),MID(N93,9,2),MID(N93,11,2)),DATE(MID(N93,7,4),MID(N93,11,2),MID(N93,13,2)))))</f>
        <v>33195</v>
      </c>
      <c r="Q93" s="160">
        <f ca="1">YEAR(NOW())-MID(N93,7,4)</f>
        <v>36</v>
      </c>
      <c r="R93" s="165" t="s">
        <v>1001</v>
      </c>
      <c r="S93" s="160" t="s">
        <v>785</v>
      </c>
      <c r="T93" s="160" t="s">
        <v>1002</v>
      </c>
      <c r="U93" s="160" t="s">
        <v>1276</v>
      </c>
      <c r="V93" s="160" t="s">
        <v>1180</v>
      </c>
      <c r="W93" s="160" t="s">
        <v>1491</v>
      </c>
      <c r="X93" s="160" t="s">
        <v>974</v>
      </c>
      <c r="Y93" s="160" t="s">
        <v>1492</v>
      </c>
      <c r="Z93" s="160" t="s">
        <v>1493</v>
      </c>
      <c r="AA93" s="166"/>
      <c r="AB93" s="171" t="s">
        <v>1494</v>
      </c>
      <c r="AC93" s="209"/>
      <c r="AD93" s="172" t="s">
        <v>1495</v>
      </c>
      <c r="AE93" s="167" t="s">
        <v>1496</v>
      </c>
      <c r="AF93" s="168" t="s">
        <v>1497</v>
      </c>
      <c r="AG93" s="167" t="s">
        <v>1498</v>
      </c>
      <c r="AH93" s="168">
        <v>15168334452</v>
      </c>
      <c r="AI93" s="167"/>
      <c r="AJ93" s="167" t="s">
        <v>1499</v>
      </c>
      <c r="AK93" s="167"/>
      <c r="AL93" s="170"/>
      <c r="AM93" s="163"/>
      <c r="AN93" s="174"/>
      <c r="AO93" s="167"/>
      <c r="AP93" s="160"/>
      <c r="AQ93" s="158"/>
      <c r="AR93" s="93"/>
    </row>
    <row r="94" s="85" customFormat="1" customHeight="1" spans="1:44">
      <c r="A94" s="122">
        <v>93</v>
      </c>
      <c r="B94" s="140">
        <v>42454</v>
      </c>
      <c r="C94" s="139" t="s">
        <v>1026</v>
      </c>
      <c r="D94" s="139" t="s">
        <v>1500</v>
      </c>
      <c r="E94" s="139" t="s">
        <v>1115</v>
      </c>
      <c r="F94" s="141" t="s">
        <v>1501</v>
      </c>
      <c r="G94" s="139"/>
      <c r="H94" s="137" t="s">
        <v>1398</v>
      </c>
      <c r="I94" s="139" t="s">
        <v>1049</v>
      </c>
      <c r="J94" s="139" t="s">
        <v>803</v>
      </c>
      <c r="K94" s="139"/>
      <c r="L94" s="140">
        <v>42285</v>
      </c>
      <c r="M94" s="139" t="str">
        <f ca="1" t="shared" si="2"/>
        <v>10年3个月</v>
      </c>
      <c r="N94" s="181" t="s">
        <v>1502</v>
      </c>
      <c r="O94" s="139" t="s">
        <v>782</v>
      </c>
      <c r="P94" s="142">
        <v>32581</v>
      </c>
      <c r="Q94" s="139">
        <f ca="1">IF(N94="","",IF(AND(LEN(N94)&lt;&gt;15,LEN(N94)&lt;&gt;18),"错误",ROUNDDOWN((NOW()-P94)/365,0)))</f>
        <v>36</v>
      </c>
      <c r="R94" s="151" t="s">
        <v>1001</v>
      </c>
      <c r="S94" s="139" t="s">
        <v>785</v>
      </c>
      <c r="T94" s="139" t="s">
        <v>1002</v>
      </c>
      <c r="U94" s="139" t="s">
        <v>1503</v>
      </c>
      <c r="V94" s="139" t="s">
        <v>1504</v>
      </c>
      <c r="W94" s="139" t="s">
        <v>1005</v>
      </c>
      <c r="X94" s="139" t="s">
        <v>1006</v>
      </c>
      <c r="Y94" s="139" t="s">
        <v>1505</v>
      </c>
      <c r="Z94" s="139" t="s">
        <v>824</v>
      </c>
      <c r="AA94" s="152">
        <v>41821</v>
      </c>
      <c r="AB94" s="184">
        <v>18511710805</v>
      </c>
      <c r="AC94" s="185"/>
      <c r="AD94" s="186" t="s">
        <v>1506</v>
      </c>
      <c r="AE94" s="149" t="s">
        <v>1507</v>
      </c>
      <c r="AF94" s="153" t="s">
        <v>1508</v>
      </c>
      <c r="AG94" s="149" t="s">
        <v>1137</v>
      </c>
      <c r="AH94" s="153">
        <v>18504377157</v>
      </c>
      <c r="AI94" s="149" t="s">
        <v>1080</v>
      </c>
      <c r="AJ94" s="149"/>
      <c r="AK94" s="149"/>
      <c r="AL94" s="140">
        <v>42285</v>
      </c>
      <c r="AM94" s="142">
        <f>EDATE(AL94,36)-1</f>
        <v>43380</v>
      </c>
      <c r="AN94" s="148">
        <f ca="1">ROUND(AM94-NOW(),0)</f>
        <v>-2672</v>
      </c>
      <c r="AO94" s="149"/>
      <c r="AP94" s="139"/>
      <c r="AQ94" s="137"/>
      <c r="AR94" s="94"/>
    </row>
    <row r="95" s="85" customFormat="1" customHeight="1" spans="1:44">
      <c r="A95" s="122">
        <v>94</v>
      </c>
      <c r="B95" s="140">
        <v>42454</v>
      </c>
      <c r="C95" s="139" t="s">
        <v>1026</v>
      </c>
      <c r="D95" s="139" t="s">
        <v>1509</v>
      </c>
      <c r="E95" s="139" t="s">
        <v>1127</v>
      </c>
      <c r="F95" s="141" t="s">
        <v>1510</v>
      </c>
      <c r="G95" s="139"/>
      <c r="H95" s="137" t="s">
        <v>1252</v>
      </c>
      <c r="I95" s="139" t="s">
        <v>1511</v>
      </c>
      <c r="J95" s="139" t="s">
        <v>803</v>
      </c>
      <c r="K95" s="139"/>
      <c r="L95" s="140">
        <v>42290</v>
      </c>
      <c r="M95" s="139" t="str">
        <f ca="1" t="shared" si="2"/>
        <v>10年3个月</v>
      </c>
      <c r="N95" s="181" t="s">
        <v>1512</v>
      </c>
      <c r="O95" s="139" t="s">
        <v>794</v>
      </c>
      <c r="P95" s="142">
        <v>32915</v>
      </c>
      <c r="Q95" s="139">
        <f ca="1">IF(N95="","",IF(AND(LEN(N95)&lt;&gt;15,LEN(N95)&lt;&gt;18),"错误",ROUNDDOWN((NOW()-P95)/365,0)))</f>
        <v>35</v>
      </c>
      <c r="R95" s="151" t="s">
        <v>784</v>
      </c>
      <c r="S95" s="139" t="s">
        <v>785</v>
      </c>
      <c r="T95" s="139" t="s">
        <v>1002</v>
      </c>
      <c r="U95" s="139" t="s">
        <v>21</v>
      </c>
      <c r="V95" s="139" t="s">
        <v>1513</v>
      </c>
      <c r="W95" s="139" t="s">
        <v>1005</v>
      </c>
      <c r="X95" s="139" t="s">
        <v>1006</v>
      </c>
      <c r="Y95" s="139" t="s">
        <v>1514</v>
      </c>
      <c r="Z95" s="139" t="s">
        <v>1258</v>
      </c>
      <c r="AA95" s="152">
        <v>41699</v>
      </c>
      <c r="AB95" s="184">
        <v>18810869132</v>
      </c>
      <c r="AC95" s="185"/>
      <c r="AD95" s="186" t="s">
        <v>1515</v>
      </c>
      <c r="AE95" s="149" t="s">
        <v>1516</v>
      </c>
      <c r="AF95" s="153" t="s">
        <v>1517</v>
      </c>
      <c r="AG95" s="149" t="s">
        <v>1046</v>
      </c>
      <c r="AH95" s="153">
        <v>13621119805</v>
      </c>
      <c r="AI95" s="149" t="s">
        <v>1080</v>
      </c>
      <c r="AJ95" s="149"/>
      <c r="AK95" s="149"/>
      <c r="AL95" s="140">
        <f>L95</f>
        <v>42290</v>
      </c>
      <c r="AM95" s="142">
        <f>EDATE(AL95,36)-1</f>
        <v>43385</v>
      </c>
      <c r="AN95" s="148">
        <f ca="1">ROUND(AM95-NOW(),0)</f>
        <v>-2667</v>
      </c>
      <c r="AO95" s="149"/>
      <c r="AP95" s="139"/>
      <c r="AQ95" s="137"/>
      <c r="AR95" s="94"/>
    </row>
    <row r="96" s="85" customFormat="1" customHeight="1" spans="1:44">
      <c r="A96" s="122">
        <v>95</v>
      </c>
      <c r="B96" s="140">
        <v>42455</v>
      </c>
      <c r="C96" s="139" t="s">
        <v>1026</v>
      </c>
      <c r="D96" s="137"/>
      <c r="E96" s="137"/>
      <c r="F96" s="141" t="s">
        <v>1518</v>
      </c>
      <c r="G96" s="141" t="s">
        <v>1224</v>
      </c>
      <c r="H96" s="137" t="s">
        <v>1289</v>
      </c>
      <c r="I96" s="139" t="s">
        <v>1519</v>
      </c>
      <c r="J96" s="139" t="s">
        <v>1227</v>
      </c>
      <c r="K96" s="139" t="s">
        <v>227</v>
      </c>
      <c r="L96" s="140">
        <v>42436</v>
      </c>
      <c r="M96" s="139" t="str">
        <f ca="1" t="shared" si="2"/>
        <v>9年10个月</v>
      </c>
      <c r="N96" s="181" t="s">
        <v>1520</v>
      </c>
      <c r="O96" s="139" t="str">
        <f>IF(MOD(MID(N96,17,1),2),"男","女")</f>
        <v>男</v>
      </c>
      <c r="P96" s="142">
        <f>IF(N96="","",IF(AND(LEN(N96)&lt;&gt;15,LEN(N96)&lt;&gt;18),"错误",IF(LEN(N96)=15,DATE(MID(N96,7,2),MID(N96,9,2),MID(N96,11,2)),DATE(MID(N96,7,4),MID(N96,11,2),MID(N96,13,2)))))</f>
        <v>32109</v>
      </c>
      <c r="Q96" s="139">
        <f ca="1">YEAR(NOW())-MID(N96,7,4)</f>
        <v>39</v>
      </c>
      <c r="R96" s="151" t="s">
        <v>1001</v>
      </c>
      <c r="S96" s="139" t="s">
        <v>879</v>
      </c>
      <c r="T96" s="139" t="s">
        <v>1002</v>
      </c>
      <c r="U96" s="139" t="s">
        <v>1521</v>
      </c>
      <c r="V96" s="139" t="s">
        <v>1522</v>
      </c>
      <c r="W96" s="139" t="s">
        <v>1371</v>
      </c>
      <c r="X96" s="139" t="s">
        <v>974</v>
      </c>
      <c r="Y96" s="139" t="s">
        <v>1380</v>
      </c>
      <c r="Z96" s="139" t="s">
        <v>1523</v>
      </c>
      <c r="AA96" s="152"/>
      <c r="AB96" s="184">
        <v>13336036443</v>
      </c>
      <c r="AC96" s="208" t="s">
        <v>1524</v>
      </c>
      <c r="AD96" s="186" t="s">
        <v>1525</v>
      </c>
      <c r="AE96" s="149" t="s">
        <v>1526</v>
      </c>
      <c r="AF96" s="153" t="s">
        <v>1527</v>
      </c>
      <c r="AG96" s="149" t="s">
        <v>1528</v>
      </c>
      <c r="AH96" s="153">
        <v>13301323623</v>
      </c>
      <c r="AI96" s="149"/>
      <c r="AJ96" s="149"/>
      <c r="AK96" s="149"/>
      <c r="AL96" s="140"/>
      <c r="AM96" s="142"/>
      <c r="AN96" s="148"/>
      <c r="AO96" s="149"/>
      <c r="AP96" s="139"/>
      <c r="AQ96" s="137"/>
      <c r="AR96" s="94"/>
    </row>
    <row r="97" s="85" customFormat="1" customHeight="1" spans="1:45">
      <c r="A97" s="122">
        <v>96</v>
      </c>
      <c r="B97" s="140">
        <v>42468</v>
      </c>
      <c r="C97" s="139" t="s">
        <v>1026</v>
      </c>
      <c r="D97" s="137"/>
      <c r="E97" s="139" t="s">
        <v>1127</v>
      </c>
      <c r="F97" s="141" t="s">
        <v>1529</v>
      </c>
      <c r="G97" s="141" t="s">
        <v>1530</v>
      </c>
      <c r="H97" s="137" t="s">
        <v>1325</v>
      </c>
      <c r="I97" s="139" t="s">
        <v>1226</v>
      </c>
      <c r="J97" s="139" t="s">
        <v>1227</v>
      </c>
      <c r="K97" s="139" t="s">
        <v>227</v>
      </c>
      <c r="L97" s="140">
        <v>42310</v>
      </c>
      <c r="M97" s="139" t="str">
        <f ca="1" t="shared" si="2"/>
        <v>10年2个月</v>
      </c>
      <c r="N97" s="181" t="s">
        <v>1531</v>
      </c>
      <c r="O97" s="139" t="s">
        <v>782</v>
      </c>
      <c r="P97" s="142">
        <f>IF(N97="","",IF(AND(LEN(N97)&lt;&gt;15,LEN(N97)&lt;&gt;18),"错误",IF(LEN(N97)=15,DATE(MID(N97,7,2),MID(N97,9,2),MID(N97,11,2)),DATE(MID(N97,7,4),MID(N97,11,2),MID(N97,13,2)))))</f>
        <v>33152</v>
      </c>
      <c r="Q97" s="139">
        <v>26</v>
      </c>
      <c r="R97" s="151" t="s">
        <v>1001</v>
      </c>
      <c r="S97" s="139" t="s">
        <v>879</v>
      </c>
      <c r="T97" s="139" t="s">
        <v>1292</v>
      </c>
      <c r="U97" s="139" t="s">
        <v>1532</v>
      </c>
      <c r="V97" s="139" t="s">
        <v>1533</v>
      </c>
      <c r="W97" s="139" t="s">
        <v>1444</v>
      </c>
      <c r="X97" s="139" t="s">
        <v>789</v>
      </c>
      <c r="Y97" s="139" t="s">
        <v>1534</v>
      </c>
      <c r="Z97" s="139" t="s">
        <v>1535</v>
      </c>
      <c r="AA97" s="152">
        <v>41821</v>
      </c>
      <c r="AB97" s="184" t="s">
        <v>1536</v>
      </c>
      <c r="AC97" s="208" t="s">
        <v>1537</v>
      </c>
      <c r="AD97" s="186" t="s">
        <v>1538</v>
      </c>
      <c r="AE97" s="149" t="s">
        <v>1539</v>
      </c>
      <c r="AF97" s="153" t="s">
        <v>1540</v>
      </c>
      <c r="AG97" s="149" t="s">
        <v>1167</v>
      </c>
      <c r="AH97" s="153">
        <v>15868836165</v>
      </c>
      <c r="AI97" s="149"/>
      <c r="AJ97" s="149"/>
      <c r="AK97" s="149"/>
      <c r="AL97" s="140"/>
      <c r="AM97" s="142"/>
      <c r="AN97" s="148"/>
      <c r="AO97" s="149"/>
      <c r="AP97" s="139"/>
      <c r="AQ97" s="137"/>
      <c r="AR97" s="94"/>
    </row>
    <row r="98" s="85" customFormat="1" customHeight="1" spans="1:45">
      <c r="A98" s="122">
        <v>97</v>
      </c>
      <c r="B98" s="140">
        <v>42480</v>
      </c>
      <c r="C98" s="139" t="s">
        <v>1026</v>
      </c>
      <c r="D98" s="137"/>
      <c r="E98" s="139" t="s">
        <v>1127</v>
      </c>
      <c r="F98" s="141" t="s">
        <v>1541</v>
      </c>
      <c r="G98" s="141" t="s">
        <v>1530</v>
      </c>
      <c r="H98" s="137" t="s">
        <v>1542</v>
      </c>
      <c r="I98" s="139" t="s">
        <v>1543</v>
      </c>
      <c r="J98" s="139" t="s">
        <v>1227</v>
      </c>
      <c r="K98" s="139" t="s">
        <v>227</v>
      </c>
      <c r="L98" s="140">
        <v>42253</v>
      </c>
      <c r="M98" s="139" t="str">
        <f ca="1" t="shared" si="2"/>
        <v>10年4个月</v>
      </c>
      <c r="N98" s="181" t="s">
        <v>1544</v>
      </c>
      <c r="O98" s="139" t="str">
        <f>IF(MOD(MID(N98,17,1),2),"男","女")</f>
        <v>男</v>
      </c>
      <c r="P98" s="142">
        <f>IF(N98="","",IF(AND(LEN(N98)&lt;&gt;15,LEN(N98)&lt;&gt;18),"错误",IF(LEN(N98)=15,DATE(MID(N98,7,2),MID(N98,9,2),MID(N98,11,2)),DATE(MID(N98,7,4),MID(N98,11,2),MID(N98,13,2)))))</f>
        <v>30534</v>
      </c>
      <c r="Q98" s="139">
        <f ca="1">YEAR(NOW())-MID(N98,7,4)</f>
        <v>43</v>
      </c>
      <c r="R98" s="151" t="s">
        <v>1001</v>
      </c>
      <c r="S98" s="139" t="s">
        <v>879</v>
      </c>
      <c r="T98" s="139" t="s">
        <v>1292</v>
      </c>
      <c r="U98" s="139" t="s">
        <v>1545</v>
      </c>
      <c r="V98" s="139" t="s">
        <v>1546</v>
      </c>
      <c r="W98" s="139"/>
      <c r="X98" s="139" t="s">
        <v>1006</v>
      </c>
      <c r="Y98" s="139" t="s">
        <v>1547</v>
      </c>
      <c r="Z98" s="139" t="s">
        <v>1548</v>
      </c>
      <c r="AA98" s="152">
        <v>39234</v>
      </c>
      <c r="AB98" s="184">
        <v>13588766784</v>
      </c>
      <c r="AC98" s="208" t="s">
        <v>1549</v>
      </c>
      <c r="AD98" s="186" t="s">
        <v>1550</v>
      </c>
      <c r="AE98" s="149" t="s">
        <v>1546</v>
      </c>
      <c r="AF98" s="153" t="s">
        <v>1551</v>
      </c>
      <c r="AG98" s="149" t="s">
        <v>1059</v>
      </c>
      <c r="AH98" s="153">
        <v>13858175797</v>
      </c>
      <c r="AI98" s="149" t="s">
        <v>1035</v>
      </c>
      <c r="AJ98" s="149" t="s">
        <v>1552</v>
      </c>
      <c r="AK98" s="149"/>
      <c r="AL98" s="140"/>
      <c r="AM98" s="142"/>
      <c r="AN98" s="148"/>
      <c r="AO98" s="149"/>
      <c r="AP98" s="139"/>
      <c r="AQ98" s="137"/>
      <c r="AR98" s="94"/>
    </row>
    <row r="99" s="85" customFormat="1" customHeight="1" spans="1:45">
      <c r="A99" s="122">
        <v>98</v>
      </c>
      <c r="B99" s="140">
        <v>42486</v>
      </c>
      <c r="C99" s="139" t="s">
        <v>1026</v>
      </c>
      <c r="D99" s="137" t="s">
        <v>1553</v>
      </c>
      <c r="E99" s="139" t="s">
        <v>1127</v>
      </c>
      <c r="F99" s="137" t="s">
        <v>1554</v>
      </c>
      <c r="G99" s="137" t="s">
        <v>1224</v>
      </c>
      <c r="H99" s="137" t="s">
        <v>1555</v>
      </c>
      <c r="I99" s="137" t="s">
        <v>119</v>
      </c>
      <c r="J99" s="137" t="s">
        <v>779</v>
      </c>
      <c r="K99" s="137"/>
      <c r="L99" s="140">
        <v>41708</v>
      </c>
      <c r="M99" s="139" t="str">
        <f ca="1" t="shared" si="2"/>
        <v>11年10个月</v>
      </c>
      <c r="N99" s="181" t="s">
        <v>1556</v>
      </c>
      <c r="O99" s="139" t="str">
        <f>IF(N99="","",IF(AND(LEN(N99)&lt;&gt;15,LEN(N99)&lt;&gt;18),"错误",IF(MOD(IF(LEN(N99)=15,MID(N99,15,1),MID(N99,17,1)),2)=1,"男","女")))</f>
        <v>男</v>
      </c>
      <c r="P99" s="142">
        <f>IF(N99="","",IF(AND(LEN(N99)&lt;&gt;15,LEN(N99)&lt;&gt;18),"错误",IF(LEN(N99)=15,DATE(MID(N99,7,2),MID(N99,9,2),MID(N99,11,2)),DATE(MID(N99,7,4),MID(N99,11,2),MID(N99,13,2)))))</f>
        <v>31908</v>
      </c>
      <c r="Q99" s="139">
        <f ca="1">IF(N99="","",IF(AND(LEN(N99)&lt;&gt;15,LEN(N99)&lt;&gt;18),"错误",ROUNDDOWN((NOW()-P99)/365,0)))</f>
        <v>38</v>
      </c>
      <c r="R99" s="151" t="s">
        <v>1001</v>
      </c>
      <c r="S99" s="137" t="s">
        <v>785</v>
      </c>
      <c r="T99" s="137" t="s">
        <v>1002</v>
      </c>
      <c r="U99" s="139" t="s">
        <v>1557</v>
      </c>
      <c r="V99" s="139" t="s">
        <v>1558</v>
      </c>
      <c r="W99" s="137" t="s">
        <v>786</v>
      </c>
      <c r="X99" s="137" t="s">
        <v>974</v>
      </c>
      <c r="Y99" s="137" t="s">
        <v>1031</v>
      </c>
      <c r="Z99" s="137" t="s">
        <v>1559</v>
      </c>
      <c r="AA99" s="145">
        <v>41821</v>
      </c>
      <c r="AB99" s="122">
        <v>15201441290</v>
      </c>
      <c r="AC99" s="147"/>
      <c r="AD99" s="146" t="s">
        <v>1560</v>
      </c>
      <c r="AE99" s="146" t="s">
        <v>1561</v>
      </c>
      <c r="AF99" s="147" t="s">
        <v>1562</v>
      </c>
      <c r="AG99" s="146" t="s">
        <v>1046</v>
      </c>
      <c r="AH99" s="147">
        <v>13901490119</v>
      </c>
      <c r="AI99" s="146" t="s">
        <v>1035</v>
      </c>
      <c r="AJ99" s="146" t="s">
        <v>40</v>
      </c>
      <c r="AK99" s="146"/>
      <c r="AL99" s="142">
        <v>41708</v>
      </c>
      <c r="AM99" s="142">
        <v>42438</v>
      </c>
      <c r="AN99" s="148">
        <f ca="1">ROUND(AM99-NOW(),0)</f>
        <v>-3614</v>
      </c>
      <c r="AO99" s="146" t="s">
        <v>1563</v>
      </c>
      <c r="AP99" s="137"/>
      <c r="AQ99" s="137"/>
      <c r="AR99" s="94"/>
    </row>
    <row r="100" s="85" customFormat="1" customHeight="1" spans="1:45">
      <c r="A100" s="122">
        <v>99</v>
      </c>
      <c r="B100" s="140">
        <v>42486</v>
      </c>
      <c r="C100" s="139" t="s">
        <v>1026</v>
      </c>
      <c r="D100" s="139" t="s">
        <v>1564</v>
      </c>
      <c r="E100" s="139" t="s">
        <v>1127</v>
      </c>
      <c r="F100" s="141" t="s">
        <v>1565</v>
      </c>
      <c r="G100" s="139" t="s">
        <v>1566</v>
      </c>
      <c r="H100" s="137" t="s">
        <v>1252</v>
      </c>
      <c r="I100" s="139" t="s">
        <v>1567</v>
      </c>
      <c r="J100" s="139" t="s">
        <v>803</v>
      </c>
      <c r="K100" s="139"/>
      <c r="L100" s="140">
        <v>42310</v>
      </c>
      <c r="M100" s="139" t="str">
        <f ca="1" t="shared" si="2"/>
        <v>10年2个月</v>
      </c>
      <c r="N100" s="181" t="s">
        <v>1568</v>
      </c>
      <c r="O100" s="139" t="s">
        <v>794</v>
      </c>
      <c r="P100" s="142">
        <v>31702</v>
      </c>
      <c r="Q100" s="139">
        <v>29</v>
      </c>
      <c r="R100" s="151" t="s">
        <v>1001</v>
      </c>
      <c r="S100" s="139" t="s">
        <v>879</v>
      </c>
      <c r="T100" s="139" t="s">
        <v>1002</v>
      </c>
      <c r="U100" s="139">
        <v>0</v>
      </c>
      <c r="V100" s="139" t="s">
        <v>1569</v>
      </c>
      <c r="W100" s="139" t="s">
        <v>1005</v>
      </c>
      <c r="X100" s="139" t="s">
        <v>1006</v>
      </c>
      <c r="Y100" s="139" t="s">
        <v>1570</v>
      </c>
      <c r="Z100" s="139" t="s">
        <v>1258</v>
      </c>
      <c r="AA100" s="152">
        <v>40360</v>
      </c>
      <c r="AB100" s="184">
        <v>18611585087</v>
      </c>
      <c r="AC100" s="185"/>
      <c r="AD100" s="186" t="s">
        <v>1571</v>
      </c>
      <c r="AE100" s="149" t="s">
        <v>1569</v>
      </c>
      <c r="AF100" s="153" t="s">
        <v>1572</v>
      </c>
      <c r="AG100" s="149" t="s">
        <v>1167</v>
      </c>
      <c r="AH100" s="153">
        <v>18611580501</v>
      </c>
      <c r="AI100" s="149" t="s">
        <v>1080</v>
      </c>
      <c r="AJ100" s="149"/>
      <c r="AK100" s="149"/>
      <c r="AL100" s="140">
        <f>L100</f>
        <v>42310</v>
      </c>
      <c r="AM100" s="142">
        <f>EDATE(AL100,36)-1</f>
        <v>43405</v>
      </c>
      <c r="AN100" s="148">
        <f ca="1">ROUND(AM100-NOW(),0)</f>
        <v>-2647</v>
      </c>
      <c r="AO100" s="149"/>
      <c r="AP100" s="139"/>
      <c r="AQ100" s="137"/>
      <c r="AR100" s="94"/>
    </row>
    <row r="101" s="86" customFormat="1" customHeight="1" spans="1:45">
      <c r="A101" s="122">
        <v>100</v>
      </c>
      <c r="B101" s="170">
        <v>42488</v>
      </c>
      <c r="C101" s="160" t="s">
        <v>1026</v>
      </c>
      <c r="D101" s="160" t="s">
        <v>1573</v>
      </c>
      <c r="E101" s="160" t="s">
        <v>1115</v>
      </c>
      <c r="F101" s="161" t="s">
        <v>1156</v>
      </c>
      <c r="G101" s="160" t="s">
        <v>1224</v>
      </c>
      <c r="H101" s="158" t="s">
        <v>1555</v>
      </c>
      <c r="I101" s="160" t="s">
        <v>1157</v>
      </c>
      <c r="J101" s="160" t="s">
        <v>803</v>
      </c>
      <c r="K101" s="160"/>
      <c r="L101" s="170">
        <v>42324</v>
      </c>
      <c r="M101" s="160" t="str">
        <f ca="1" t="shared" si="2"/>
        <v>10年2个月</v>
      </c>
      <c r="N101" s="187" t="s">
        <v>1158</v>
      </c>
      <c r="O101" s="160" t="s">
        <v>782</v>
      </c>
      <c r="P101" s="163">
        <v>31678</v>
      </c>
      <c r="Q101" s="160">
        <v>28</v>
      </c>
      <c r="R101" s="165" t="s">
        <v>1001</v>
      </c>
      <c r="S101" s="160" t="s">
        <v>879</v>
      </c>
      <c r="T101" s="160" t="s">
        <v>1051</v>
      </c>
      <c r="U101" s="160" t="s">
        <v>1159</v>
      </c>
      <c r="V101" s="160" t="s">
        <v>1160</v>
      </c>
      <c r="W101" s="160" t="s">
        <v>1005</v>
      </c>
      <c r="X101" s="160" t="s">
        <v>1161</v>
      </c>
      <c r="Y101" s="160" t="s">
        <v>1162</v>
      </c>
      <c r="Z101" s="160" t="s">
        <v>1163</v>
      </c>
      <c r="AA101" s="166">
        <v>42430</v>
      </c>
      <c r="AB101" s="171">
        <v>18627162590</v>
      </c>
      <c r="AC101" s="188"/>
      <c r="AD101" s="172" t="s">
        <v>1164</v>
      </c>
      <c r="AE101" s="167" t="s">
        <v>1165</v>
      </c>
      <c r="AF101" s="168" t="s">
        <v>1166</v>
      </c>
      <c r="AG101" s="167" t="s">
        <v>1167</v>
      </c>
      <c r="AH101" s="168">
        <v>15927538856</v>
      </c>
      <c r="AI101" s="167" t="s">
        <v>1035</v>
      </c>
      <c r="AJ101" s="167" t="s">
        <v>51</v>
      </c>
      <c r="AK101" s="167"/>
      <c r="AL101" s="163"/>
      <c r="AM101" s="163"/>
      <c r="AN101" s="174"/>
      <c r="AO101" s="167"/>
      <c r="AP101" s="160"/>
      <c r="AQ101" s="158"/>
      <c r="AR101" s="93"/>
    </row>
    <row r="102" s="85" customFormat="1" customHeight="1" spans="1:45">
      <c r="A102" s="122">
        <v>101</v>
      </c>
      <c r="B102" s="140">
        <v>42496</v>
      </c>
      <c r="C102" s="139" t="s">
        <v>1026</v>
      </c>
      <c r="D102" s="139" t="s">
        <v>1574</v>
      </c>
      <c r="E102" s="139" t="s">
        <v>1127</v>
      </c>
      <c r="F102" s="141" t="s">
        <v>1575</v>
      </c>
      <c r="G102" s="139" t="s">
        <v>1530</v>
      </c>
      <c r="H102" s="137" t="s">
        <v>1576</v>
      </c>
      <c r="I102" s="139" t="s">
        <v>1577</v>
      </c>
      <c r="J102" s="139" t="s">
        <v>803</v>
      </c>
      <c r="K102" s="139"/>
      <c r="L102" s="140">
        <v>42339</v>
      </c>
      <c r="M102" s="139" t="str">
        <f ca="1" t="shared" si="2"/>
        <v>10年1个月</v>
      </c>
      <c r="N102" s="181" t="s">
        <v>1578</v>
      </c>
      <c r="O102" s="139" t="s">
        <v>782</v>
      </c>
      <c r="P102" s="142">
        <v>30393</v>
      </c>
      <c r="Q102" s="139">
        <v>32</v>
      </c>
      <c r="R102" s="151" t="s">
        <v>1001</v>
      </c>
      <c r="S102" s="139" t="s">
        <v>879</v>
      </c>
      <c r="T102" s="139" t="s">
        <v>1051</v>
      </c>
      <c r="U102" s="139" t="s">
        <v>1579</v>
      </c>
      <c r="V102" s="139" t="s">
        <v>1580</v>
      </c>
      <c r="W102" s="139" t="s">
        <v>1005</v>
      </c>
      <c r="X102" s="139" t="s">
        <v>974</v>
      </c>
      <c r="Y102" s="139" t="s">
        <v>1581</v>
      </c>
      <c r="Z102" s="139" t="s">
        <v>1582</v>
      </c>
      <c r="AA102" s="152">
        <v>39326</v>
      </c>
      <c r="AB102" s="184">
        <v>13911192529</v>
      </c>
      <c r="AC102" s="185"/>
      <c r="AD102" s="186" t="s">
        <v>1583</v>
      </c>
      <c r="AE102" s="149" t="s">
        <v>1584</v>
      </c>
      <c r="AF102" s="153" t="s">
        <v>1585</v>
      </c>
      <c r="AG102" s="149" t="s">
        <v>1167</v>
      </c>
      <c r="AH102" s="153">
        <v>13910671577</v>
      </c>
      <c r="AI102" s="149" t="s">
        <v>1060</v>
      </c>
      <c r="AJ102" s="149"/>
      <c r="AK102" s="149"/>
      <c r="AL102" s="140">
        <f>L102</f>
        <v>42339</v>
      </c>
      <c r="AM102" s="142">
        <f>EDATE(AL102,36)-1</f>
        <v>43434</v>
      </c>
      <c r="AN102" s="148">
        <f ca="1">ROUND(AM102-NOW(),0)</f>
        <v>-2618</v>
      </c>
      <c r="AO102" s="149"/>
      <c r="AP102" s="139"/>
      <c r="AQ102" s="137"/>
      <c r="AR102" s="94"/>
    </row>
    <row r="103" s="85" customFormat="1" customHeight="1" spans="1:45">
      <c r="A103" s="122">
        <v>102</v>
      </c>
      <c r="B103" s="126">
        <v>42507</v>
      </c>
      <c r="C103" s="125" t="s">
        <v>1013</v>
      </c>
      <c r="D103" s="125" t="s">
        <v>1586</v>
      </c>
      <c r="E103" s="125" t="s">
        <v>1015</v>
      </c>
      <c r="F103" s="127" t="s">
        <v>1439</v>
      </c>
      <c r="G103" s="125" t="s">
        <v>18</v>
      </c>
      <c r="H103" s="123" t="s">
        <v>1431</v>
      </c>
      <c r="I103" s="125" t="s">
        <v>27</v>
      </c>
      <c r="J103" s="125" t="s">
        <v>803</v>
      </c>
      <c r="K103" s="125"/>
      <c r="L103" s="126">
        <v>42185</v>
      </c>
      <c r="M103" s="125" t="str">
        <f ca="1" t="shared" si="2"/>
        <v>10年6个月</v>
      </c>
      <c r="N103" s="183" t="s">
        <v>1587</v>
      </c>
      <c r="O103" s="125" t="s">
        <v>782</v>
      </c>
      <c r="P103" s="128">
        <v>34457</v>
      </c>
      <c r="Q103" s="125">
        <f ca="1">IF(N103="","",IF(AND(LEN(N103)&lt;&gt;15,LEN(N103)&lt;&gt;18),"错误",ROUNDDOWN((NOW()-P103)/365,0)))</f>
        <v>31</v>
      </c>
      <c r="R103" s="155" t="s">
        <v>1001</v>
      </c>
      <c r="S103" s="125" t="s">
        <v>785</v>
      </c>
      <c r="T103" s="125" t="s">
        <v>1002</v>
      </c>
      <c r="U103" s="125" t="s">
        <v>1588</v>
      </c>
      <c r="V103" s="125" t="s">
        <v>1589</v>
      </c>
      <c r="W103" s="125" t="s">
        <v>1054</v>
      </c>
      <c r="X103" s="125" t="s">
        <v>1006</v>
      </c>
      <c r="Y103" s="125" t="s">
        <v>1031</v>
      </c>
      <c r="Z103" s="125" t="s">
        <v>1218</v>
      </c>
      <c r="AA103" s="156">
        <v>42552</v>
      </c>
      <c r="AB103" s="176">
        <v>18811363505</v>
      </c>
      <c r="AC103" s="177"/>
      <c r="AD103" s="178" t="s">
        <v>1590</v>
      </c>
      <c r="AE103" s="136" t="s">
        <v>1591</v>
      </c>
      <c r="AF103" s="157" t="s">
        <v>1592</v>
      </c>
      <c r="AG103" s="136" t="s">
        <v>1097</v>
      </c>
      <c r="AH103" s="157">
        <v>13968752571</v>
      </c>
      <c r="AI103" s="136" t="s">
        <v>1035</v>
      </c>
      <c r="AJ103" s="136" t="s">
        <v>24</v>
      </c>
      <c r="AK103" s="136"/>
      <c r="AL103" s="126"/>
      <c r="AM103" s="128"/>
      <c r="AN103" s="135"/>
      <c r="AO103" s="136"/>
      <c r="AP103" s="125"/>
      <c r="AQ103" s="123"/>
      <c r="AR103" s="92"/>
      <c r="AS103" s="87"/>
    </row>
    <row r="104" s="87" customFormat="1" customHeight="1" spans="1:45">
      <c r="A104" s="122">
        <v>103</v>
      </c>
      <c r="B104" s="140">
        <v>42507</v>
      </c>
      <c r="C104" s="139" t="s">
        <v>1026</v>
      </c>
      <c r="D104" s="139" t="s">
        <v>1593</v>
      </c>
      <c r="E104" s="139" t="s">
        <v>1127</v>
      </c>
      <c r="F104" s="141" t="s">
        <v>1594</v>
      </c>
      <c r="G104" s="139" t="s">
        <v>1355</v>
      </c>
      <c r="H104" s="137" t="s">
        <v>1169</v>
      </c>
      <c r="I104" s="139" t="s">
        <v>1595</v>
      </c>
      <c r="J104" s="139" t="s">
        <v>803</v>
      </c>
      <c r="K104" s="139"/>
      <c r="L104" s="140">
        <v>42268</v>
      </c>
      <c r="M104" s="139" t="str">
        <f ca="1" t="shared" si="2"/>
        <v>10年4个月</v>
      </c>
      <c r="N104" s="181" t="s">
        <v>1596</v>
      </c>
      <c r="O104" s="139" t="s">
        <v>794</v>
      </c>
      <c r="P104" s="142">
        <v>29875</v>
      </c>
      <c r="Q104" s="139">
        <f ca="1">IF(N104="","",IF(AND(LEN(N104)&lt;&gt;15,LEN(N104)&lt;&gt;18),"错误",ROUNDDOWN((NOW()-P104)/365,0)))</f>
        <v>44</v>
      </c>
      <c r="R104" s="151" t="s">
        <v>1001</v>
      </c>
      <c r="S104" s="139" t="s">
        <v>879</v>
      </c>
      <c r="T104" s="139" t="s">
        <v>1051</v>
      </c>
      <c r="U104" s="139" t="s">
        <v>1597</v>
      </c>
      <c r="V104" s="139" t="s">
        <v>1598</v>
      </c>
      <c r="W104" s="139" t="s">
        <v>1005</v>
      </c>
      <c r="X104" s="139" t="s">
        <v>1006</v>
      </c>
      <c r="Y104" s="139" t="s">
        <v>1599</v>
      </c>
      <c r="Z104" s="139" t="s">
        <v>1600</v>
      </c>
      <c r="AA104" s="152">
        <v>38169</v>
      </c>
      <c r="AB104" s="184">
        <v>18611838981</v>
      </c>
      <c r="AC104" s="185"/>
      <c r="AD104" s="186" t="s">
        <v>1601</v>
      </c>
      <c r="AE104" s="149" t="s">
        <v>1602</v>
      </c>
      <c r="AF104" s="153" t="s">
        <v>1603</v>
      </c>
      <c r="AG104" s="149" t="s">
        <v>1167</v>
      </c>
      <c r="AH104" s="153">
        <v>18611172231</v>
      </c>
      <c r="AI104" s="149" t="s">
        <v>1604</v>
      </c>
      <c r="AJ104" s="149"/>
      <c r="AK104" s="149"/>
      <c r="AL104" s="140">
        <v>42285</v>
      </c>
      <c r="AM104" s="142">
        <f>EDATE(AL104,36)-1</f>
        <v>43380</v>
      </c>
      <c r="AN104" s="148">
        <f ca="1">ROUND(AM104-NOW(),0)</f>
        <v>-2672</v>
      </c>
      <c r="AO104" s="149"/>
      <c r="AP104" s="139"/>
      <c r="AQ104" s="137"/>
      <c r="AR104" s="94"/>
      <c r="AS104" s="85"/>
    </row>
    <row r="105" s="85" customFormat="1" customHeight="1" spans="1:45">
      <c r="A105" s="122">
        <v>104</v>
      </c>
      <c r="B105" s="140">
        <v>42508</v>
      </c>
      <c r="C105" s="139" t="s">
        <v>1026</v>
      </c>
      <c r="D105" s="139" t="s">
        <v>1605</v>
      </c>
      <c r="E105" s="139" t="s">
        <v>1115</v>
      </c>
      <c r="F105" s="141" t="s">
        <v>1606</v>
      </c>
      <c r="G105" s="139" t="s">
        <v>1530</v>
      </c>
      <c r="H105" s="137" t="s">
        <v>1576</v>
      </c>
      <c r="I105" s="139" t="s">
        <v>689</v>
      </c>
      <c r="J105" s="139" t="s">
        <v>779</v>
      </c>
      <c r="K105" s="139"/>
      <c r="L105" s="140">
        <v>42388</v>
      </c>
      <c r="M105" s="139" t="str">
        <f ca="1" t="shared" si="2"/>
        <v>10年0个月</v>
      </c>
      <c r="N105" s="181" t="s">
        <v>1607</v>
      </c>
      <c r="O105" s="139" t="s">
        <v>782</v>
      </c>
      <c r="P105" s="142">
        <v>33548</v>
      </c>
      <c r="Q105" s="139">
        <v>24</v>
      </c>
      <c r="R105" s="151" t="s">
        <v>1608</v>
      </c>
      <c r="S105" s="139" t="s">
        <v>785</v>
      </c>
      <c r="T105" s="139" t="s">
        <v>1002</v>
      </c>
      <c r="U105" s="139" t="s">
        <v>1609</v>
      </c>
      <c r="V105" s="139" t="s">
        <v>1610</v>
      </c>
      <c r="W105" s="139" t="s">
        <v>1005</v>
      </c>
      <c r="X105" s="139" t="s">
        <v>1006</v>
      </c>
      <c r="Y105" s="139" t="s">
        <v>1611</v>
      </c>
      <c r="Z105" s="139" t="s">
        <v>1612</v>
      </c>
      <c r="AA105" s="152">
        <v>41822</v>
      </c>
      <c r="AB105" s="184">
        <v>18612723230</v>
      </c>
      <c r="AC105" s="185"/>
      <c r="AD105" s="186" t="s">
        <v>1613</v>
      </c>
      <c r="AE105" s="149" t="s">
        <v>1614</v>
      </c>
      <c r="AF105" s="153" t="s">
        <v>1615</v>
      </c>
      <c r="AG105" s="149" t="s">
        <v>1046</v>
      </c>
      <c r="AH105" s="153">
        <v>13050145589</v>
      </c>
      <c r="AI105" s="149" t="s">
        <v>1060</v>
      </c>
      <c r="AJ105" s="149"/>
      <c r="AK105" s="149"/>
      <c r="AL105" s="140">
        <f>L105</f>
        <v>42388</v>
      </c>
      <c r="AM105" s="142">
        <f>EDATE(AL105,36)-1</f>
        <v>43483</v>
      </c>
      <c r="AN105" s="148">
        <f ca="1">ROUND(AM105-NOW(),0)</f>
        <v>-2569</v>
      </c>
      <c r="AO105" s="146" t="s">
        <v>123</v>
      </c>
      <c r="AP105" s="137"/>
      <c r="AQ105" s="137"/>
      <c r="AR105" s="94"/>
    </row>
    <row r="106" s="85" customFormat="1" customHeight="1" spans="1:45">
      <c r="A106" s="122">
        <v>105</v>
      </c>
      <c r="B106" s="140">
        <v>42508</v>
      </c>
      <c r="C106" s="139" t="s">
        <v>1026</v>
      </c>
      <c r="D106" s="137"/>
      <c r="E106" s="137"/>
      <c r="F106" s="141" t="s">
        <v>1616</v>
      </c>
      <c r="G106" s="141" t="s">
        <v>1530</v>
      </c>
      <c r="H106" s="137" t="s">
        <v>1617</v>
      </c>
      <c r="I106" s="139" t="s">
        <v>886</v>
      </c>
      <c r="J106" s="139" t="s">
        <v>1227</v>
      </c>
      <c r="K106" s="139" t="s">
        <v>309</v>
      </c>
      <c r="L106" s="140">
        <v>42423</v>
      </c>
      <c r="M106" s="139" t="str">
        <f ca="1" t="shared" si="2"/>
        <v>9年11个月</v>
      </c>
      <c r="N106" s="181" t="s">
        <v>1618</v>
      </c>
      <c r="O106" s="139" t="str">
        <f>IF(MOD(MID(N106,17,1),2),"男","女")</f>
        <v>男</v>
      </c>
      <c r="P106" s="142">
        <f>IF(N106="","",IF(AND(LEN(N106)&lt;&gt;15,LEN(N106)&lt;&gt;18),"错误",IF(LEN(N106)=15,DATE(MID(N106,7,2),MID(N106,9,2),MID(N106,11,2)),DATE(MID(N106,7,4),MID(N106,11,2),MID(N106,13,2)))))</f>
        <v>29734</v>
      </c>
      <c r="Q106" s="139">
        <f ca="1">YEAR(NOW())-MID(N106,7,4)</f>
        <v>45</v>
      </c>
      <c r="R106" s="151" t="s">
        <v>1001</v>
      </c>
      <c r="S106" s="139" t="s">
        <v>879</v>
      </c>
      <c r="T106" s="139" t="s">
        <v>1292</v>
      </c>
      <c r="U106" s="139" t="s">
        <v>1132</v>
      </c>
      <c r="V106" s="139" t="s">
        <v>1619</v>
      </c>
      <c r="W106" s="139" t="s">
        <v>1476</v>
      </c>
      <c r="X106" s="139" t="s">
        <v>974</v>
      </c>
      <c r="Y106" s="139" t="s">
        <v>968</v>
      </c>
      <c r="Z106" s="139" t="s">
        <v>1620</v>
      </c>
      <c r="AA106" s="152"/>
      <c r="AB106" s="184" t="s">
        <v>1621</v>
      </c>
      <c r="AC106" s="208" t="s">
        <v>1622</v>
      </c>
      <c r="AD106" s="186" t="s">
        <v>1623</v>
      </c>
      <c r="AE106" s="149" t="s">
        <v>1624</v>
      </c>
      <c r="AF106" s="153" t="s">
        <v>1625</v>
      </c>
      <c r="AG106" s="149" t="s">
        <v>1167</v>
      </c>
      <c r="AH106" s="153">
        <v>18992832288</v>
      </c>
      <c r="AI106" s="149"/>
      <c r="AJ106" s="149"/>
      <c r="AK106" s="149"/>
      <c r="AL106" s="140"/>
      <c r="AM106" s="142"/>
      <c r="AN106" s="148"/>
      <c r="AO106" s="149"/>
      <c r="AP106" s="139"/>
      <c r="AQ106" s="137"/>
      <c r="AR106" s="94"/>
    </row>
    <row r="107" s="86" customFormat="1" customHeight="1" spans="1:45">
      <c r="A107" s="122">
        <v>106</v>
      </c>
      <c r="B107" s="170">
        <v>42513</v>
      </c>
      <c r="C107" s="160" t="s">
        <v>1026</v>
      </c>
      <c r="D107" s="158"/>
      <c r="E107" s="158"/>
      <c r="F107" s="161" t="s">
        <v>1626</v>
      </c>
      <c r="G107" s="161" t="s">
        <v>1530</v>
      </c>
      <c r="H107" s="158" t="s">
        <v>1367</v>
      </c>
      <c r="I107" s="160" t="s">
        <v>27</v>
      </c>
      <c r="J107" s="160" t="s">
        <v>1227</v>
      </c>
      <c r="K107" s="160" t="s">
        <v>227</v>
      </c>
      <c r="L107" s="170">
        <v>42331</v>
      </c>
      <c r="M107" s="160" t="str">
        <f ca="1" t="shared" si="2"/>
        <v>10年2个月</v>
      </c>
      <c r="N107" s="187" t="s">
        <v>1627</v>
      </c>
      <c r="O107" s="160" t="str">
        <f>IF(MOD(MID(N107,17,1),2),"男","女")</f>
        <v>男</v>
      </c>
      <c r="P107" s="163">
        <f>IF(N107="","",IF(AND(LEN(N107)&lt;&gt;15,LEN(N107)&lt;&gt;18),"错误",IF(LEN(N107)=15,DATE(MID(N107,7,2),MID(N107,9,2),MID(N107,11,2)),DATE(MID(N107,7,4),MID(N107,11,2),MID(N107,13,2)))))</f>
        <v>34107</v>
      </c>
      <c r="Q107" s="160">
        <f ca="1">YEAR(NOW())-MID(N107,7,4)</f>
        <v>33</v>
      </c>
      <c r="R107" s="165" t="s">
        <v>1001</v>
      </c>
      <c r="S107" s="160" t="s">
        <v>785</v>
      </c>
      <c r="T107" s="160" t="s">
        <v>1002</v>
      </c>
      <c r="U107" s="160" t="s">
        <v>1588</v>
      </c>
      <c r="V107" s="160" t="s">
        <v>1628</v>
      </c>
      <c r="W107" s="160"/>
      <c r="X107" s="160" t="s">
        <v>789</v>
      </c>
      <c r="Y107" s="160" t="s">
        <v>1492</v>
      </c>
      <c r="Z107" s="160" t="s">
        <v>1232</v>
      </c>
      <c r="AA107" s="166"/>
      <c r="AB107" s="171" t="s">
        <v>1629</v>
      </c>
      <c r="AC107" s="161" t="s">
        <v>1630</v>
      </c>
      <c r="AD107" s="210" t="s">
        <v>1631</v>
      </c>
      <c r="AE107" s="160" t="s">
        <v>1632</v>
      </c>
      <c r="AF107" s="164" t="s">
        <v>1633</v>
      </c>
      <c r="AG107" s="160" t="s">
        <v>1046</v>
      </c>
      <c r="AH107" s="164">
        <v>13706548333</v>
      </c>
      <c r="AI107" s="160" t="s">
        <v>1634</v>
      </c>
      <c r="AJ107" s="160"/>
      <c r="AK107" s="160"/>
      <c r="AL107" s="170"/>
      <c r="AM107" s="163"/>
      <c r="AN107" s="174"/>
      <c r="AO107" s="167"/>
      <c r="AP107" s="160"/>
      <c r="AQ107" s="158"/>
      <c r="AR107" s="93"/>
    </row>
    <row r="108" s="92" customFormat="1" ht="21.75" customHeight="1" spans="1:45">
      <c r="A108" s="122">
        <v>107</v>
      </c>
      <c r="B108" s="126">
        <v>42517</v>
      </c>
      <c r="C108" s="125" t="s">
        <v>1026</v>
      </c>
      <c r="D108" s="125"/>
      <c r="E108" s="125"/>
      <c r="F108" s="127" t="s">
        <v>1635</v>
      </c>
      <c r="G108" s="125" t="s">
        <v>1224</v>
      </c>
      <c r="H108" s="123" t="s">
        <v>1555</v>
      </c>
      <c r="I108" s="125" t="s">
        <v>27</v>
      </c>
      <c r="J108" s="125" t="s">
        <v>803</v>
      </c>
      <c r="K108" s="125"/>
      <c r="L108" s="126">
        <v>42289</v>
      </c>
      <c r="M108" s="125" t="str">
        <f ca="1" t="shared" si="2"/>
        <v>10年3个月</v>
      </c>
      <c r="N108" s="183" t="s">
        <v>1636</v>
      </c>
      <c r="O108" s="125" t="s">
        <v>782</v>
      </c>
      <c r="P108" s="128">
        <v>34841</v>
      </c>
      <c r="Q108" s="125">
        <f ca="1">IF(N108="","",IF(AND(LEN(N108)&lt;&gt;15,LEN(N108)&lt;&gt;18),"错误",ROUNDDOWN((NOW()-P108)/365,0)))</f>
        <v>30</v>
      </c>
      <c r="R108" s="155" t="s">
        <v>1001</v>
      </c>
      <c r="S108" s="125" t="s">
        <v>785</v>
      </c>
      <c r="T108" s="125" t="s">
        <v>1002</v>
      </c>
      <c r="U108" s="125" t="s">
        <v>1637</v>
      </c>
      <c r="V108" s="125" t="s">
        <v>1638</v>
      </c>
      <c r="W108" s="125" t="s">
        <v>1005</v>
      </c>
      <c r="X108" s="125" t="s">
        <v>1006</v>
      </c>
      <c r="Y108" s="125" t="s">
        <v>1109</v>
      </c>
      <c r="Z108" s="125" t="s">
        <v>1639</v>
      </c>
      <c r="AA108" s="156">
        <v>42552</v>
      </c>
      <c r="AB108" s="176">
        <v>18800188016</v>
      </c>
      <c r="AC108" s="177"/>
      <c r="AD108" s="178" t="s">
        <v>1640</v>
      </c>
      <c r="AE108" s="136" t="s">
        <v>1641</v>
      </c>
      <c r="AF108" s="157" t="s">
        <v>1642</v>
      </c>
      <c r="AG108" s="136" t="s">
        <v>1097</v>
      </c>
      <c r="AH108" s="157">
        <v>15225140215</v>
      </c>
      <c r="AI108" s="136" t="s">
        <v>1035</v>
      </c>
      <c r="AJ108" s="136" t="s">
        <v>105</v>
      </c>
      <c r="AK108" s="136"/>
      <c r="AL108" s="126"/>
      <c r="AM108" s="128"/>
      <c r="AN108" s="135"/>
      <c r="AO108" s="136"/>
      <c r="AP108" s="125"/>
      <c r="AQ108" s="123"/>
    </row>
    <row r="109" s="92" customFormat="1" ht="21.75" customHeight="1" spans="1:45">
      <c r="A109" s="122">
        <v>108</v>
      </c>
      <c r="B109" s="126">
        <v>42521</v>
      </c>
      <c r="C109" s="125" t="s">
        <v>1013</v>
      </c>
      <c r="D109" s="125" t="s">
        <v>1643</v>
      </c>
      <c r="E109" s="125" t="s">
        <v>1015</v>
      </c>
      <c r="F109" s="127" t="s">
        <v>1644</v>
      </c>
      <c r="G109" s="125" t="s">
        <v>18</v>
      </c>
      <c r="H109" s="123" t="s">
        <v>1431</v>
      </c>
      <c r="I109" s="125" t="s">
        <v>27</v>
      </c>
      <c r="J109" s="125" t="s">
        <v>803</v>
      </c>
      <c r="K109" s="125"/>
      <c r="L109" s="126">
        <v>42465</v>
      </c>
      <c r="M109" s="125" t="str">
        <f ca="1" t="shared" si="2"/>
        <v>9年9个月</v>
      </c>
      <c r="N109" s="183" t="s">
        <v>1645</v>
      </c>
      <c r="O109" s="125" t="s">
        <v>794</v>
      </c>
      <c r="P109" s="128">
        <v>34754</v>
      </c>
      <c r="Q109" s="125">
        <v>21</v>
      </c>
      <c r="R109" s="155" t="s">
        <v>1001</v>
      </c>
      <c r="S109" s="125" t="s">
        <v>785</v>
      </c>
      <c r="T109" s="125" t="s">
        <v>1002</v>
      </c>
      <c r="U109" s="125" t="s">
        <v>1464</v>
      </c>
      <c r="V109" s="125" t="s">
        <v>1646</v>
      </c>
      <c r="W109" s="125" t="s">
        <v>1005</v>
      </c>
      <c r="X109" s="125" t="s">
        <v>1006</v>
      </c>
      <c r="Y109" s="125" t="s">
        <v>1109</v>
      </c>
      <c r="Z109" s="125" t="s">
        <v>1647</v>
      </c>
      <c r="AA109" s="156">
        <v>42917</v>
      </c>
      <c r="AB109" s="176">
        <v>18518788247</v>
      </c>
      <c r="AC109" s="177"/>
      <c r="AD109" s="178" t="s">
        <v>1648</v>
      </c>
      <c r="AE109" s="136" t="s">
        <v>1646</v>
      </c>
      <c r="AF109" s="157" t="s">
        <v>1649</v>
      </c>
      <c r="AG109" s="136" t="s">
        <v>1309</v>
      </c>
      <c r="AH109" s="157">
        <v>13886024959</v>
      </c>
      <c r="AI109" s="136" t="s">
        <v>1035</v>
      </c>
      <c r="AJ109" s="136" t="s">
        <v>1650</v>
      </c>
      <c r="AK109" s="136"/>
      <c r="AL109" s="126"/>
      <c r="AM109" s="128"/>
      <c r="AN109" s="135"/>
      <c r="AO109" s="136"/>
      <c r="AP109" s="125"/>
      <c r="AQ109" s="123"/>
    </row>
    <row r="110" s="92" customFormat="1" ht="21.75" customHeight="1" spans="1:45">
      <c r="A110" s="122">
        <v>109</v>
      </c>
      <c r="B110" s="126">
        <v>42523</v>
      </c>
      <c r="C110" s="125" t="s">
        <v>1026</v>
      </c>
      <c r="D110" s="125" t="s">
        <v>1651</v>
      </c>
      <c r="E110" s="125" t="s">
        <v>997</v>
      </c>
      <c r="F110" s="127" t="s">
        <v>1652</v>
      </c>
      <c r="G110" s="125" t="s">
        <v>18</v>
      </c>
      <c r="H110" s="123" t="s">
        <v>1431</v>
      </c>
      <c r="I110" s="125" t="s">
        <v>27</v>
      </c>
      <c r="J110" s="125" t="s">
        <v>803</v>
      </c>
      <c r="K110" s="125"/>
      <c r="L110" s="126">
        <v>42467</v>
      </c>
      <c r="M110" s="125" t="str">
        <f ca="1" t="shared" si="2"/>
        <v>9年9个月</v>
      </c>
      <c r="N110" s="183" t="s">
        <v>1653</v>
      </c>
      <c r="O110" s="125" t="s">
        <v>782</v>
      </c>
      <c r="P110" s="128">
        <v>34317</v>
      </c>
      <c r="Q110" s="125">
        <v>22</v>
      </c>
      <c r="R110" s="155" t="s">
        <v>784</v>
      </c>
      <c r="S110" s="125" t="s">
        <v>785</v>
      </c>
      <c r="T110" s="125" t="s">
        <v>1002</v>
      </c>
      <c r="U110" s="125" t="s">
        <v>1654</v>
      </c>
      <c r="V110" s="125" t="s">
        <v>1655</v>
      </c>
      <c r="W110" s="125" t="s">
        <v>1005</v>
      </c>
      <c r="X110" s="125" t="s">
        <v>1006</v>
      </c>
      <c r="Y110" s="125" t="s">
        <v>1109</v>
      </c>
      <c r="Z110" s="125" t="s">
        <v>1656</v>
      </c>
      <c r="AA110" s="156">
        <v>42552</v>
      </c>
      <c r="AB110" s="176">
        <v>18811464502</v>
      </c>
      <c r="AC110" s="177"/>
      <c r="AD110" s="178" t="s">
        <v>1657</v>
      </c>
      <c r="AE110" s="136" t="s">
        <v>1658</v>
      </c>
      <c r="AF110" s="157" t="s">
        <v>1659</v>
      </c>
      <c r="AG110" s="136" t="s">
        <v>1011</v>
      </c>
      <c r="AH110" s="157">
        <v>13820785786</v>
      </c>
      <c r="AI110" s="136" t="s">
        <v>1035</v>
      </c>
      <c r="AJ110" s="136" t="s">
        <v>1660</v>
      </c>
      <c r="AK110" s="136"/>
      <c r="AL110" s="126"/>
      <c r="AM110" s="128"/>
      <c r="AN110" s="135"/>
      <c r="AO110" s="136"/>
      <c r="AP110" s="125"/>
      <c r="AQ110" s="123"/>
    </row>
    <row r="111" s="93" customFormat="1" ht="21.75" customHeight="1" spans="1:45">
      <c r="A111" s="122">
        <v>110</v>
      </c>
      <c r="B111" s="170">
        <v>42524</v>
      </c>
      <c r="C111" s="160" t="s">
        <v>1026</v>
      </c>
      <c r="D111" s="158"/>
      <c r="E111" s="158"/>
      <c r="F111" s="161" t="s">
        <v>1661</v>
      </c>
      <c r="G111" s="161" t="s">
        <v>1530</v>
      </c>
      <c r="H111" s="158" t="s">
        <v>1472</v>
      </c>
      <c r="I111" s="160" t="s">
        <v>27</v>
      </c>
      <c r="J111" s="160" t="s">
        <v>1227</v>
      </c>
      <c r="K111" s="160" t="s">
        <v>227</v>
      </c>
      <c r="L111" s="170">
        <v>42457</v>
      </c>
      <c r="M111" s="160" t="str">
        <f ca="1" t="shared" ref="M111:M142" si="3">IF(L111="","",DATEDIF(L111,NOW(),"Y")&amp;"年"&amp;MOD(DATEDIF(L111,NOW(),"M"),12)&amp;"个月")</f>
        <v>9年10个月</v>
      </c>
      <c r="N111" s="187" t="s">
        <v>1662</v>
      </c>
      <c r="O111" s="160" t="str">
        <f>IF(MOD(MID(N111,17,1),2),"男","女")</f>
        <v>男</v>
      </c>
      <c r="P111" s="163">
        <f>IF(N111="","",IF(AND(LEN(N111)&lt;&gt;15,LEN(N111)&lt;&gt;18),"错误",IF(LEN(N111)=15,DATE(MID(N111,7,2),MID(N111,9,2),MID(N111,11,2)),DATE(MID(N111,7,4),MID(N111,11,2),MID(N111,13,2)))))</f>
        <v>34318</v>
      </c>
      <c r="Q111" s="160">
        <f ca="1">YEAR(NOW())-MID(N111,7,4)</f>
        <v>33</v>
      </c>
      <c r="R111" s="165" t="s">
        <v>1001</v>
      </c>
      <c r="S111" s="160" t="s">
        <v>785</v>
      </c>
      <c r="T111" s="160" t="s">
        <v>1002</v>
      </c>
      <c r="U111" s="160" t="s">
        <v>1663</v>
      </c>
      <c r="V111" s="160" t="s">
        <v>1664</v>
      </c>
      <c r="W111" s="160" t="s">
        <v>1665</v>
      </c>
      <c r="X111" s="160" t="s">
        <v>789</v>
      </c>
      <c r="Y111" s="160" t="s">
        <v>1666</v>
      </c>
      <c r="Z111" s="160" t="s">
        <v>1667</v>
      </c>
      <c r="AA111" s="166"/>
      <c r="AB111" s="171">
        <v>15384027156</v>
      </c>
      <c r="AC111" s="209" t="s">
        <v>1668</v>
      </c>
      <c r="AD111" s="172" t="s">
        <v>1669</v>
      </c>
      <c r="AE111" s="167" t="s">
        <v>1670</v>
      </c>
      <c r="AF111" s="168" t="s">
        <v>1671</v>
      </c>
      <c r="AG111" s="167" t="s">
        <v>1672</v>
      </c>
      <c r="AH111" s="168">
        <v>15958152907</v>
      </c>
      <c r="AI111" s="167" t="s">
        <v>1673</v>
      </c>
      <c r="AJ111" s="167"/>
      <c r="AK111" s="167"/>
      <c r="AL111" s="170"/>
      <c r="AM111" s="163"/>
      <c r="AN111" s="174"/>
      <c r="AO111" s="167"/>
      <c r="AP111" s="160"/>
      <c r="AQ111" s="158"/>
    </row>
    <row r="112" s="93" customFormat="1" ht="21.75" customHeight="1" spans="1:45">
      <c r="A112" s="122">
        <v>111</v>
      </c>
      <c r="B112" s="170">
        <v>42524</v>
      </c>
      <c r="C112" s="160" t="s">
        <v>1026</v>
      </c>
      <c r="D112" s="158"/>
      <c r="E112" s="158"/>
      <c r="F112" s="161" t="s">
        <v>1674</v>
      </c>
      <c r="G112" s="161" t="s">
        <v>1530</v>
      </c>
      <c r="H112" s="158" t="s">
        <v>1225</v>
      </c>
      <c r="I112" s="160" t="s">
        <v>27</v>
      </c>
      <c r="J112" s="160" t="s">
        <v>1227</v>
      </c>
      <c r="K112" s="160" t="s">
        <v>227</v>
      </c>
      <c r="L112" s="170">
        <v>42458</v>
      </c>
      <c r="M112" s="160" t="str">
        <f ca="1" t="shared" si="3"/>
        <v>9年10个月</v>
      </c>
      <c r="N112" s="187" t="s">
        <v>1675</v>
      </c>
      <c r="O112" s="160" t="str">
        <f>IF(MOD(MID(N112,17,1),2),"男","女")</f>
        <v>男</v>
      </c>
      <c r="P112" s="163">
        <f>IF(N112="","",IF(AND(LEN(N112)&lt;&gt;15,LEN(N112)&lt;&gt;18),"错误",IF(LEN(N112)=15,DATE(MID(N112,7,2),MID(N112,9,2),MID(N112,11,2)),DATE(MID(N112,7,4),MID(N112,11,2),MID(N112,13,2)))))</f>
        <v>34374</v>
      </c>
      <c r="Q112" s="160">
        <f ca="1">YEAR(NOW())-MID(N112,7,4)</f>
        <v>32</v>
      </c>
      <c r="R112" s="165" t="s">
        <v>1001</v>
      </c>
      <c r="S112" s="160" t="s">
        <v>785</v>
      </c>
      <c r="T112" s="160" t="s">
        <v>1002</v>
      </c>
      <c r="U112" s="160" t="s">
        <v>1676</v>
      </c>
      <c r="V112" s="160" t="s">
        <v>1677</v>
      </c>
      <c r="W112" s="160" t="s">
        <v>1678</v>
      </c>
      <c r="X112" s="160" t="s">
        <v>789</v>
      </c>
      <c r="Y112" s="160" t="s">
        <v>1679</v>
      </c>
      <c r="Z112" s="160" t="s">
        <v>1559</v>
      </c>
      <c r="AA112" s="166"/>
      <c r="AB112" s="171">
        <v>15757164301</v>
      </c>
      <c r="AC112" s="209" t="s">
        <v>1680</v>
      </c>
      <c r="AD112" s="172" t="s">
        <v>1681</v>
      </c>
      <c r="AE112" s="167" t="s">
        <v>1682</v>
      </c>
      <c r="AF112" s="168" t="s">
        <v>1683</v>
      </c>
      <c r="AG112" s="167" t="s">
        <v>1011</v>
      </c>
      <c r="AH112" s="168">
        <v>13806622346</v>
      </c>
      <c r="AI112" s="167" t="s">
        <v>1673</v>
      </c>
      <c r="AJ112" s="167"/>
      <c r="AK112" s="167"/>
      <c r="AL112" s="170"/>
      <c r="AM112" s="163"/>
      <c r="AN112" s="174"/>
      <c r="AO112" s="167"/>
      <c r="AP112" s="160"/>
      <c r="AQ112" s="158"/>
    </row>
    <row r="113" s="93" customFormat="1" ht="21.75" customHeight="1" spans="1:43">
      <c r="A113" s="122">
        <v>112</v>
      </c>
      <c r="B113" s="170">
        <v>42524</v>
      </c>
      <c r="C113" s="160" t="s">
        <v>1026</v>
      </c>
      <c r="D113" s="158"/>
      <c r="E113" s="158"/>
      <c r="F113" s="161" t="s">
        <v>1684</v>
      </c>
      <c r="G113" s="161" t="s">
        <v>1530</v>
      </c>
      <c r="H113" s="158" t="s">
        <v>1225</v>
      </c>
      <c r="I113" s="160" t="s">
        <v>27</v>
      </c>
      <c r="J113" s="160" t="s">
        <v>1227</v>
      </c>
      <c r="K113" s="160" t="s">
        <v>227</v>
      </c>
      <c r="L113" s="170">
        <v>42471</v>
      </c>
      <c r="M113" s="160" t="str">
        <f ca="1" t="shared" si="3"/>
        <v>9年9个月</v>
      </c>
      <c r="N113" s="187" t="s">
        <v>1685</v>
      </c>
      <c r="O113" s="160" t="str">
        <f>IF(MOD(MID(N113,17,1),2),"男","女")</f>
        <v>男</v>
      </c>
      <c r="P113" s="163">
        <f>IF(N113="","",IF(AND(LEN(N113)&lt;&gt;15,LEN(N113)&lt;&gt;18),"错误",IF(LEN(N113)=15,DATE(MID(N113,7,2),MID(N113,9,2),MID(N113,11,2)),DATE(MID(N113,7,4),MID(N113,11,2),MID(N113,13,2)))))</f>
        <v>33607</v>
      </c>
      <c r="Q113" s="160">
        <f ca="1">YEAR(NOW())-MID(N113,7,4)</f>
        <v>34</v>
      </c>
      <c r="R113" s="165" t="s">
        <v>1686</v>
      </c>
      <c r="S113" s="160" t="s">
        <v>785</v>
      </c>
      <c r="T113" s="160" t="s">
        <v>1002</v>
      </c>
      <c r="U113" s="160" t="s">
        <v>1687</v>
      </c>
      <c r="V113" s="160" t="s">
        <v>1688</v>
      </c>
      <c r="W113" s="160" t="s">
        <v>1689</v>
      </c>
      <c r="X113" s="160" t="s">
        <v>789</v>
      </c>
      <c r="Y113" s="160" t="s">
        <v>1380</v>
      </c>
      <c r="Z113" s="160" t="s">
        <v>1690</v>
      </c>
      <c r="AA113" s="166"/>
      <c r="AB113" s="171">
        <v>15958169047</v>
      </c>
      <c r="AC113" s="209" t="s">
        <v>1691</v>
      </c>
      <c r="AD113" s="172" t="s">
        <v>1692</v>
      </c>
      <c r="AE113" s="167" t="s">
        <v>1688</v>
      </c>
      <c r="AF113" s="168" t="s">
        <v>1693</v>
      </c>
      <c r="AG113" s="167" t="s">
        <v>1137</v>
      </c>
      <c r="AH113" s="168">
        <v>13189666900</v>
      </c>
      <c r="AI113" s="167" t="s">
        <v>1673</v>
      </c>
      <c r="AJ113" s="167"/>
      <c r="AK113" s="167"/>
      <c r="AL113" s="170"/>
      <c r="AM113" s="163"/>
      <c r="AN113" s="174"/>
      <c r="AO113" s="167"/>
      <c r="AP113" s="160"/>
      <c r="AQ113" s="158"/>
    </row>
    <row r="114" s="93" customFormat="1" ht="21.75" customHeight="1" spans="1:43">
      <c r="A114" s="122">
        <v>113</v>
      </c>
      <c r="B114" s="170">
        <v>42527</v>
      </c>
      <c r="C114" s="160" t="s">
        <v>1026</v>
      </c>
      <c r="D114" s="158"/>
      <c r="E114" s="158"/>
      <c r="F114" s="161" t="s">
        <v>1694</v>
      </c>
      <c r="G114" s="161" t="s">
        <v>1530</v>
      </c>
      <c r="H114" s="158" t="s">
        <v>1225</v>
      </c>
      <c r="I114" s="160" t="s">
        <v>27</v>
      </c>
      <c r="J114" s="160" t="s">
        <v>1227</v>
      </c>
      <c r="K114" s="160" t="s">
        <v>227</v>
      </c>
      <c r="L114" s="170">
        <v>42465</v>
      </c>
      <c r="M114" s="160" t="str">
        <f ca="1" t="shared" si="3"/>
        <v>9年9个月</v>
      </c>
      <c r="N114" s="187" t="s">
        <v>1695</v>
      </c>
      <c r="O114" s="160" t="str">
        <f>IF(MOD(MID(N114,17,1),2),"男","女")</f>
        <v>男</v>
      </c>
      <c r="P114" s="163">
        <f>IF(N114="","",IF(AND(LEN(N114)&lt;&gt;15,LEN(N114)&lt;&gt;18),"错误",IF(LEN(N114)=15,DATE(MID(N114,7,2),MID(N114,9,2),MID(N114,11,2)),DATE(MID(N114,7,4),MID(N114,11,2),MID(N114,13,2)))))</f>
        <v>33892</v>
      </c>
      <c r="Q114" s="160">
        <f ca="1">YEAR(NOW())-MID(N114,7,4)</f>
        <v>34</v>
      </c>
      <c r="R114" s="165" t="s">
        <v>1001</v>
      </c>
      <c r="S114" s="160" t="s">
        <v>785</v>
      </c>
      <c r="T114" s="160" t="s">
        <v>1002</v>
      </c>
      <c r="U114" s="160" t="s">
        <v>1588</v>
      </c>
      <c r="V114" s="160" t="s">
        <v>1696</v>
      </c>
      <c r="W114" s="160" t="s">
        <v>1697</v>
      </c>
      <c r="X114" s="160" t="s">
        <v>789</v>
      </c>
      <c r="Y114" s="160" t="s">
        <v>1698</v>
      </c>
      <c r="Z114" s="160" t="s">
        <v>1699</v>
      </c>
      <c r="AA114" s="166"/>
      <c r="AB114" s="171" t="s">
        <v>1700</v>
      </c>
      <c r="AC114" s="209" t="s">
        <v>1701</v>
      </c>
      <c r="AD114" s="172" t="s">
        <v>1702</v>
      </c>
      <c r="AE114" s="167" t="s">
        <v>1703</v>
      </c>
      <c r="AF114" s="168" t="s">
        <v>1704</v>
      </c>
      <c r="AG114" s="167" t="s">
        <v>1046</v>
      </c>
      <c r="AH114" s="168">
        <v>18868520109</v>
      </c>
      <c r="AI114" s="167" t="s">
        <v>1673</v>
      </c>
      <c r="AJ114" s="167"/>
      <c r="AK114" s="167"/>
      <c r="AL114" s="170"/>
      <c r="AM114" s="163"/>
      <c r="AN114" s="174"/>
      <c r="AO114" s="167"/>
      <c r="AP114" s="160"/>
      <c r="AQ114" s="158"/>
    </row>
    <row r="115" s="93" customFormat="1" ht="21.75" customHeight="1" spans="1:43">
      <c r="A115" s="122">
        <v>114</v>
      </c>
      <c r="B115" s="170">
        <v>42528</v>
      </c>
      <c r="C115" s="160" t="s">
        <v>1026</v>
      </c>
      <c r="D115" s="158"/>
      <c r="E115" s="158"/>
      <c r="F115" s="161" t="s">
        <v>1705</v>
      </c>
      <c r="G115" s="161" t="s">
        <v>1530</v>
      </c>
      <c r="H115" s="158" t="s">
        <v>1542</v>
      </c>
      <c r="I115" s="160" t="s">
        <v>27</v>
      </c>
      <c r="J115" s="160" t="s">
        <v>1227</v>
      </c>
      <c r="K115" s="160" t="s">
        <v>227</v>
      </c>
      <c r="L115" s="170">
        <v>42457</v>
      </c>
      <c r="M115" s="160" t="str">
        <f ca="1" t="shared" si="3"/>
        <v>9年10个月</v>
      </c>
      <c r="N115" s="187" t="s">
        <v>1706</v>
      </c>
      <c r="O115" s="160" t="s">
        <v>782</v>
      </c>
      <c r="P115" s="163">
        <f>IF(N115="","",IF(AND(LEN(N115)&lt;&gt;15,LEN(N115)&lt;&gt;18),"错误",IF(LEN(N115)=15,DATE(MID(N115,7,2),MID(N115,9,2),MID(N115,11,2)),DATE(MID(N115,7,4),MID(N115,11,2),MID(N115,13,2)))))</f>
        <v>32057</v>
      </c>
      <c r="Q115" s="160">
        <v>29</v>
      </c>
      <c r="R115" s="165" t="s">
        <v>1001</v>
      </c>
      <c r="S115" s="160" t="s">
        <v>785</v>
      </c>
      <c r="T115" s="160" t="s">
        <v>1002</v>
      </c>
      <c r="U115" s="160" t="s">
        <v>1707</v>
      </c>
      <c r="V115" s="160" t="s">
        <v>1708</v>
      </c>
      <c r="W115" s="160" t="s">
        <v>1709</v>
      </c>
      <c r="X115" s="160" t="s">
        <v>974</v>
      </c>
      <c r="Y115" s="160" t="s">
        <v>1710</v>
      </c>
      <c r="Z115" s="160" t="s">
        <v>1711</v>
      </c>
      <c r="AA115" s="166"/>
      <c r="AB115" s="171">
        <v>13699532677</v>
      </c>
      <c r="AC115" s="209" t="s">
        <v>1712</v>
      </c>
      <c r="AD115" s="172" t="s">
        <v>1713</v>
      </c>
      <c r="AE115" s="167" t="s">
        <v>1714</v>
      </c>
      <c r="AF115" s="168" t="s">
        <v>1715</v>
      </c>
      <c r="AG115" s="167" t="s">
        <v>1716</v>
      </c>
      <c r="AH115" s="168">
        <v>15279108337</v>
      </c>
      <c r="AI115" s="167" t="s">
        <v>1673</v>
      </c>
      <c r="AJ115" s="167"/>
      <c r="AK115" s="167"/>
      <c r="AL115" s="170"/>
      <c r="AM115" s="163"/>
      <c r="AN115" s="174"/>
      <c r="AO115" s="167"/>
      <c r="AP115" s="160"/>
      <c r="AQ115" s="158"/>
    </row>
    <row r="116" s="94" customFormat="1" ht="21.75" customHeight="1" spans="1:43">
      <c r="A116" s="122">
        <v>115</v>
      </c>
      <c r="B116" s="140">
        <v>42529</v>
      </c>
      <c r="C116" s="139" t="s">
        <v>1026</v>
      </c>
      <c r="D116" s="139" t="s">
        <v>1717</v>
      </c>
      <c r="E116" s="139" t="s">
        <v>1115</v>
      </c>
      <c r="F116" s="141" t="s">
        <v>1718</v>
      </c>
      <c r="G116" s="139" t="s">
        <v>1566</v>
      </c>
      <c r="H116" s="137" t="s">
        <v>1252</v>
      </c>
      <c r="I116" s="139" t="s">
        <v>451</v>
      </c>
      <c r="J116" s="139" t="s">
        <v>803</v>
      </c>
      <c r="K116" s="139"/>
      <c r="L116" s="140">
        <v>42292</v>
      </c>
      <c r="M116" s="139" t="str">
        <f ca="1" t="shared" si="3"/>
        <v>10年3个月</v>
      </c>
      <c r="N116" s="181" t="s">
        <v>1719</v>
      </c>
      <c r="O116" s="139" t="s">
        <v>794</v>
      </c>
      <c r="P116" s="142">
        <v>33541</v>
      </c>
      <c r="Q116" s="139">
        <f ca="1">IF(N116="","",IF(AND(LEN(N116)&lt;&gt;15,LEN(N116)&lt;&gt;18),"错误",ROUNDDOWN((NOW()-P116)/365,0)))</f>
        <v>34</v>
      </c>
      <c r="R116" s="151" t="s">
        <v>1001</v>
      </c>
      <c r="S116" s="139" t="s">
        <v>785</v>
      </c>
      <c r="T116" s="139" t="s">
        <v>1002</v>
      </c>
      <c r="U116" s="139" t="s">
        <v>1720</v>
      </c>
      <c r="V116" s="139" t="s">
        <v>1721</v>
      </c>
      <c r="W116" s="139" t="s">
        <v>1005</v>
      </c>
      <c r="X116" s="139" t="s">
        <v>1006</v>
      </c>
      <c r="Y116" s="139" t="s">
        <v>1722</v>
      </c>
      <c r="Z116" s="139" t="s">
        <v>1258</v>
      </c>
      <c r="AA116" s="152">
        <v>41791</v>
      </c>
      <c r="AB116" s="184">
        <v>15901096207</v>
      </c>
      <c r="AC116" s="185"/>
      <c r="AD116" s="186" t="s">
        <v>1723</v>
      </c>
      <c r="AE116" s="149" t="s">
        <v>1724</v>
      </c>
      <c r="AF116" s="153" t="s">
        <v>1725</v>
      </c>
      <c r="AG116" s="149" t="s">
        <v>1309</v>
      </c>
      <c r="AH116" s="153">
        <v>18686842167</v>
      </c>
      <c r="AI116" s="149" t="s">
        <v>1080</v>
      </c>
      <c r="AJ116" s="149"/>
      <c r="AK116" s="149"/>
      <c r="AL116" s="140">
        <f>L116</f>
        <v>42292</v>
      </c>
      <c r="AM116" s="142">
        <f>EDATE(AL116,36)-1</f>
        <v>43387</v>
      </c>
      <c r="AN116" s="148">
        <f ca="1">ROUND(AM116-NOW(),0)</f>
        <v>-2665</v>
      </c>
      <c r="AO116" s="149"/>
      <c r="AP116" s="139"/>
      <c r="AQ116" s="137"/>
    </row>
    <row r="117" s="94" customFormat="1" ht="21.75" customHeight="1" spans="1:43">
      <c r="A117" s="122">
        <v>116</v>
      </c>
      <c r="B117" s="140">
        <v>42531</v>
      </c>
      <c r="C117" s="139" t="s">
        <v>1013</v>
      </c>
      <c r="D117" s="137" t="s">
        <v>1726</v>
      </c>
      <c r="E117" s="137" t="s">
        <v>1726</v>
      </c>
      <c r="F117" s="141" t="s">
        <v>1470</v>
      </c>
      <c r="G117" s="141" t="s">
        <v>1530</v>
      </c>
      <c r="H117" s="137" t="s">
        <v>50</v>
      </c>
      <c r="I117" s="139" t="s">
        <v>50</v>
      </c>
      <c r="J117" s="139" t="s">
        <v>1227</v>
      </c>
      <c r="K117" s="139" t="s">
        <v>227</v>
      </c>
      <c r="L117" s="140">
        <v>42191</v>
      </c>
      <c r="M117" s="139" t="str">
        <f ca="1" t="shared" si="3"/>
        <v>10年6个月</v>
      </c>
      <c r="N117" s="181" t="s">
        <v>1727</v>
      </c>
      <c r="O117" s="139" t="str">
        <f>IF(MOD(MID(N117,17,1),2),"男","女")</f>
        <v>男</v>
      </c>
      <c r="P117" s="142">
        <f>IF(N117="","",IF(AND(LEN(N117)&lt;&gt;15,LEN(N117)&lt;&gt;18),"错误",IF(LEN(N117)=15,DATE(MID(N117,7,2),MID(N117,9,2),MID(N117,11,2)),DATE(MID(N117,7,4),MID(N117,11,2),MID(N117,13,2)))))</f>
        <v>29811</v>
      </c>
      <c r="Q117" s="139">
        <f ca="1">YEAR(NOW())-MID(N117,7,4)</f>
        <v>45</v>
      </c>
      <c r="R117" s="151" t="s">
        <v>1001</v>
      </c>
      <c r="S117" s="139" t="s">
        <v>879</v>
      </c>
      <c r="T117" s="139" t="s">
        <v>1292</v>
      </c>
      <c r="U117" s="139" t="s">
        <v>1377</v>
      </c>
      <c r="V117" s="139" t="s">
        <v>1728</v>
      </c>
      <c r="W117" s="139">
        <v>12</v>
      </c>
      <c r="X117" s="139" t="s">
        <v>974</v>
      </c>
      <c r="Y117" s="139" t="s">
        <v>1698</v>
      </c>
      <c r="Z117" s="139" t="s">
        <v>1729</v>
      </c>
      <c r="AA117" s="152">
        <v>38899</v>
      </c>
      <c r="AB117" s="184" t="s">
        <v>1730</v>
      </c>
      <c r="AC117" s="208" t="s">
        <v>1731</v>
      </c>
      <c r="AD117" s="186">
        <v>0</v>
      </c>
      <c r="AE117" s="149" t="s">
        <v>1728</v>
      </c>
      <c r="AF117" s="153" t="s">
        <v>1732</v>
      </c>
      <c r="AG117" s="149" t="s">
        <v>1167</v>
      </c>
      <c r="AH117" s="153">
        <v>13560737005</v>
      </c>
      <c r="AI117" s="149"/>
      <c r="AJ117" s="149"/>
      <c r="AK117" s="149"/>
      <c r="AL117" s="140">
        <v>42309</v>
      </c>
      <c r="AM117" s="142">
        <v>43039</v>
      </c>
      <c r="AN117" s="148"/>
      <c r="AO117" s="149"/>
      <c r="AP117" s="139"/>
      <c r="AQ117" s="137"/>
    </row>
    <row r="118" s="94" customFormat="1" ht="21.75" customHeight="1" spans="1:43">
      <c r="A118" s="122">
        <v>117</v>
      </c>
      <c r="B118" s="140">
        <v>42531</v>
      </c>
      <c r="C118" s="139" t="s">
        <v>1013</v>
      </c>
      <c r="D118" s="137" t="s">
        <v>1726</v>
      </c>
      <c r="E118" s="137" t="s">
        <v>1726</v>
      </c>
      <c r="F118" s="141" t="s">
        <v>1552</v>
      </c>
      <c r="G118" s="141" t="s">
        <v>1530</v>
      </c>
      <c r="H118" s="137" t="s">
        <v>53</v>
      </c>
      <c r="I118" s="139" t="s">
        <v>53</v>
      </c>
      <c r="J118" s="139" t="s">
        <v>1227</v>
      </c>
      <c r="K118" s="139" t="s">
        <v>227</v>
      </c>
      <c r="L118" s="140">
        <v>42202</v>
      </c>
      <c r="M118" s="139" t="str">
        <f ca="1" t="shared" si="3"/>
        <v>10年6个月</v>
      </c>
      <c r="N118" s="181" t="s">
        <v>1733</v>
      </c>
      <c r="O118" s="139" t="str">
        <f>IF(MOD(MID(N118,17,1),2),"男","女")</f>
        <v>男</v>
      </c>
      <c r="P118" s="142">
        <f>IF(N118="","",IF(AND(LEN(N118)&lt;&gt;15,LEN(N118)&lt;&gt;18),"错误",IF(LEN(N118)=15,DATE(MID(N118,7,2),MID(N118,9,2),MID(N118,11,2)),DATE(MID(N118,7,4),MID(N118,11,2),MID(N118,13,2)))))</f>
        <v>29650</v>
      </c>
      <c r="Q118" s="139">
        <f ca="1">YEAR(NOW())-MID(N118,7,4)</f>
        <v>45</v>
      </c>
      <c r="R118" s="151" t="s">
        <v>1001</v>
      </c>
      <c r="S118" s="139" t="s">
        <v>879</v>
      </c>
      <c r="T118" s="139" t="s">
        <v>1292</v>
      </c>
      <c r="U118" s="139" t="s">
        <v>1132</v>
      </c>
      <c r="V118" s="139" t="s">
        <v>227</v>
      </c>
      <c r="W118" s="139">
        <v>10</v>
      </c>
      <c r="X118" s="139" t="s">
        <v>974</v>
      </c>
      <c r="Y118" s="139" t="s">
        <v>1698</v>
      </c>
      <c r="Z118" s="139" t="s">
        <v>1734</v>
      </c>
      <c r="AA118" s="152" t="s">
        <v>1735</v>
      </c>
      <c r="AB118" s="184" t="s">
        <v>1736</v>
      </c>
      <c r="AC118" s="208" t="s">
        <v>1737</v>
      </c>
      <c r="AD118" s="186" t="s">
        <v>1738</v>
      </c>
      <c r="AE118" s="149" t="s">
        <v>1739</v>
      </c>
      <c r="AF118" s="153" t="s">
        <v>1740</v>
      </c>
      <c r="AG118" s="149" t="s">
        <v>1167</v>
      </c>
      <c r="AH118" s="153">
        <v>13456953655</v>
      </c>
      <c r="AI118" s="149"/>
      <c r="AJ118" s="149"/>
      <c r="AK118" s="149"/>
      <c r="AL118" s="140">
        <v>42309</v>
      </c>
      <c r="AM118" s="142">
        <v>43039</v>
      </c>
      <c r="AN118" s="148"/>
      <c r="AO118" s="149"/>
      <c r="AP118" s="139"/>
      <c r="AQ118" s="137"/>
    </row>
    <row r="119" s="94" customFormat="1" ht="21.75" customHeight="1" spans="1:43">
      <c r="A119" s="122">
        <v>118</v>
      </c>
      <c r="B119" s="140">
        <v>42533</v>
      </c>
      <c r="C119" s="139" t="s">
        <v>1013</v>
      </c>
      <c r="D119" s="137" t="s">
        <v>1726</v>
      </c>
      <c r="E119" s="137" t="s">
        <v>1726</v>
      </c>
      <c r="F119" s="141" t="s">
        <v>1741</v>
      </c>
      <c r="G119" s="141" t="s">
        <v>1530</v>
      </c>
      <c r="H119" s="137" t="s">
        <v>1542</v>
      </c>
      <c r="I119" s="139" t="s">
        <v>1226</v>
      </c>
      <c r="J119" s="139" t="s">
        <v>1227</v>
      </c>
      <c r="K119" s="139" t="s">
        <v>227</v>
      </c>
      <c r="L119" s="140">
        <v>42285</v>
      </c>
      <c r="M119" s="139" t="str">
        <f ca="1" t="shared" si="3"/>
        <v>10年3个月</v>
      </c>
      <c r="N119" s="181" t="s">
        <v>1742</v>
      </c>
      <c r="O119" s="139" t="str">
        <f>IF(MOD(MID(N119,17,1),2),"男","女")</f>
        <v>男</v>
      </c>
      <c r="P119" s="142">
        <f>IF(N119="","",IF(AND(LEN(N119)&lt;&gt;15,LEN(N119)&lt;&gt;18),"错误",IF(LEN(N119)=15,DATE(MID(N119,7,2),MID(N119,9,2),MID(N119,11,2)),DATE(MID(N119,7,4),MID(N119,11,2),MID(N119,13,2)))))</f>
        <v>28902</v>
      </c>
      <c r="Q119" s="139">
        <f ca="1">YEAR(NOW())-MID(N119,7,4)</f>
        <v>47</v>
      </c>
      <c r="R119" s="151" t="s">
        <v>1001</v>
      </c>
      <c r="S119" s="139" t="s">
        <v>879</v>
      </c>
      <c r="T119" s="139" t="s">
        <v>1002</v>
      </c>
      <c r="U119" s="139" t="s">
        <v>1743</v>
      </c>
      <c r="V119" s="139" t="s">
        <v>1744</v>
      </c>
      <c r="W119" s="139" t="s">
        <v>1444</v>
      </c>
      <c r="X119" s="139" t="s">
        <v>789</v>
      </c>
      <c r="Y119" s="139" t="s">
        <v>1745</v>
      </c>
      <c r="Z119" s="139" t="s">
        <v>1746</v>
      </c>
      <c r="AA119" s="152">
        <v>38169</v>
      </c>
      <c r="AB119" s="184">
        <v>18658159186</v>
      </c>
      <c r="AC119" s="208" t="s">
        <v>1747</v>
      </c>
      <c r="AD119" s="186" t="s">
        <v>1748</v>
      </c>
      <c r="AE119" s="149" t="s">
        <v>1749</v>
      </c>
      <c r="AF119" s="153"/>
      <c r="AG119" s="149" t="s">
        <v>1167</v>
      </c>
      <c r="AH119" s="153">
        <v>18958129090</v>
      </c>
      <c r="AI119" s="149"/>
      <c r="AJ119" s="149"/>
      <c r="AK119" s="149"/>
      <c r="AL119" s="140">
        <v>42285</v>
      </c>
      <c r="AM119" s="142">
        <v>43015</v>
      </c>
      <c r="AN119" s="148"/>
      <c r="AO119" s="149"/>
      <c r="AP119" s="139"/>
      <c r="AQ119" s="137"/>
    </row>
    <row r="120" s="94" customFormat="1" ht="21.75" customHeight="1" spans="1:43">
      <c r="A120" s="122">
        <v>119</v>
      </c>
      <c r="B120" s="140">
        <v>42533</v>
      </c>
      <c r="C120" s="139" t="s">
        <v>1013</v>
      </c>
      <c r="D120" s="137" t="s">
        <v>1726</v>
      </c>
      <c r="E120" s="137" t="s">
        <v>1726</v>
      </c>
      <c r="F120" s="141" t="s">
        <v>1750</v>
      </c>
      <c r="G120" s="141" t="s">
        <v>1530</v>
      </c>
      <c r="H120" s="137" t="s">
        <v>1542</v>
      </c>
      <c r="I120" s="139" t="s">
        <v>1226</v>
      </c>
      <c r="J120" s="139" t="s">
        <v>1227</v>
      </c>
      <c r="K120" s="139" t="s">
        <v>227</v>
      </c>
      <c r="L120" s="140">
        <v>42285</v>
      </c>
      <c r="M120" s="139" t="str">
        <f ca="1" t="shared" si="3"/>
        <v>10年3个月</v>
      </c>
      <c r="N120" s="181" t="s">
        <v>1751</v>
      </c>
      <c r="O120" s="139" t="str">
        <f>IF(MOD(MID(N120,17,1),2),"男","女")</f>
        <v>男</v>
      </c>
      <c r="P120" s="142">
        <f>IF(N120="","",IF(AND(LEN(N120)&lt;&gt;15,LEN(N120)&lt;&gt;18),"错误",IF(LEN(N120)=15,DATE(MID(N120,7,2),MID(N120,9,2),MID(N120,11,2)),DATE(MID(N120,7,4),MID(N120,11,2),MID(N120,13,2)))))</f>
        <v>28355</v>
      </c>
      <c r="Q120" s="139">
        <f ca="1">YEAR(NOW())-MID(N120,7,4)</f>
        <v>49</v>
      </c>
      <c r="R120" s="151" t="s">
        <v>1001</v>
      </c>
      <c r="S120" s="139" t="s">
        <v>879</v>
      </c>
      <c r="T120" s="139" t="s">
        <v>1292</v>
      </c>
      <c r="U120" s="139" t="s">
        <v>1752</v>
      </c>
      <c r="V120" s="139" t="s">
        <v>1753</v>
      </c>
      <c r="W120" s="139" t="s">
        <v>1371</v>
      </c>
      <c r="X120" s="139" t="s">
        <v>789</v>
      </c>
      <c r="Y120" s="139" t="s">
        <v>1754</v>
      </c>
      <c r="Z120" s="139" t="s">
        <v>1755</v>
      </c>
      <c r="AA120" s="152">
        <v>35973</v>
      </c>
      <c r="AB120" s="184" t="s">
        <v>1756</v>
      </c>
      <c r="AC120" s="208" t="s">
        <v>1757</v>
      </c>
      <c r="AD120" s="186"/>
      <c r="AE120" s="149" t="s">
        <v>1758</v>
      </c>
      <c r="AF120" s="153" t="s">
        <v>1759</v>
      </c>
      <c r="AG120" s="149" t="s">
        <v>1167</v>
      </c>
      <c r="AH120" s="153">
        <v>13868112691</v>
      </c>
      <c r="AI120" s="149"/>
      <c r="AJ120" s="149"/>
      <c r="AK120" s="149"/>
      <c r="AL120" s="140">
        <v>42285</v>
      </c>
      <c r="AM120" s="142">
        <v>43015</v>
      </c>
      <c r="AN120" s="148"/>
      <c r="AO120" s="149"/>
      <c r="AP120" s="139"/>
      <c r="AQ120" s="137"/>
    </row>
    <row r="121" s="94" customFormat="1" ht="21.75" customHeight="1" spans="1:43">
      <c r="A121" s="122">
        <v>120</v>
      </c>
      <c r="B121" s="140">
        <v>42533</v>
      </c>
      <c r="C121" s="139" t="s">
        <v>1013</v>
      </c>
      <c r="D121" s="137" t="s">
        <v>1726</v>
      </c>
      <c r="E121" s="137" t="s">
        <v>1726</v>
      </c>
      <c r="F121" s="141" t="s">
        <v>1760</v>
      </c>
      <c r="G121" s="141" t="s">
        <v>1530</v>
      </c>
      <c r="H121" s="137" t="s">
        <v>1542</v>
      </c>
      <c r="I121" s="139" t="s">
        <v>1226</v>
      </c>
      <c r="J121" s="139" t="s">
        <v>1227</v>
      </c>
      <c r="K121" s="139" t="s">
        <v>227</v>
      </c>
      <c r="L121" s="140">
        <v>42310</v>
      </c>
      <c r="M121" s="139" t="str">
        <f ca="1" t="shared" si="3"/>
        <v>10年2个月</v>
      </c>
      <c r="N121" s="181" t="s">
        <v>1761</v>
      </c>
      <c r="O121" s="139" t="str">
        <f>IF(MOD(MID(N121,17,1),2),"男","女")</f>
        <v>男</v>
      </c>
      <c r="P121" s="142">
        <f>IF(N121="","",IF(AND(LEN(N121)&lt;&gt;15,LEN(N121)&lt;&gt;18),"错误",IF(LEN(N121)=15,DATE(MID(N121,7,2),MID(N121,9,2),MID(N121,11,2)),DATE(MID(N121,7,4),MID(N121,11,2),MID(N121,13,2)))))</f>
        <v>30198</v>
      </c>
      <c r="Q121" s="139">
        <f ca="1">YEAR(NOW())-MID(N121,7,4)</f>
        <v>44</v>
      </c>
      <c r="R121" s="151" t="s">
        <v>1001</v>
      </c>
      <c r="S121" s="139" t="s">
        <v>879</v>
      </c>
      <c r="T121" s="139" t="s">
        <v>1292</v>
      </c>
      <c r="U121" s="139" t="s">
        <v>1762</v>
      </c>
      <c r="V121" s="139" t="s">
        <v>1763</v>
      </c>
      <c r="W121" s="139" t="s">
        <v>1318</v>
      </c>
      <c r="X121" s="139" t="s">
        <v>789</v>
      </c>
      <c r="Y121" s="139" t="s">
        <v>1764</v>
      </c>
      <c r="Z121" s="139" t="s">
        <v>1765</v>
      </c>
      <c r="AA121" s="152">
        <v>38531</v>
      </c>
      <c r="AB121" s="184">
        <v>15355005995</v>
      </c>
      <c r="AC121" s="208" t="s">
        <v>1766</v>
      </c>
      <c r="AD121" s="186" t="s">
        <v>1767</v>
      </c>
      <c r="AE121" s="149" t="s">
        <v>1768</v>
      </c>
      <c r="AF121" s="153" t="s">
        <v>1769</v>
      </c>
      <c r="AG121" s="149" t="s">
        <v>1167</v>
      </c>
      <c r="AH121" s="153">
        <v>15397190080</v>
      </c>
      <c r="AI121" s="149" t="s">
        <v>1634</v>
      </c>
      <c r="AJ121" s="149"/>
      <c r="AK121" s="149"/>
      <c r="AL121" s="140">
        <v>42310</v>
      </c>
      <c r="AM121" s="142">
        <v>43040</v>
      </c>
      <c r="AN121" s="148"/>
      <c r="AO121" s="149"/>
      <c r="AP121" s="139"/>
      <c r="AQ121" s="137"/>
    </row>
    <row r="122" s="94" customFormat="1" ht="21.75" customHeight="1" spans="1:43">
      <c r="A122" s="122">
        <v>121</v>
      </c>
      <c r="B122" s="140">
        <v>42534</v>
      </c>
      <c r="C122" s="139" t="s">
        <v>1026</v>
      </c>
      <c r="D122" s="139" t="s">
        <v>1770</v>
      </c>
      <c r="E122" s="139" t="s">
        <v>1115</v>
      </c>
      <c r="F122" s="141" t="s">
        <v>1771</v>
      </c>
      <c r="G122" s="139" t="s">
        <v>1772</v>
      </c>
      <c r="H122" s="137" t="s">
        <v>1773</v>
      </c>
      <c r="I122" s="139" t="s">
        <v>1774</v>
      </c>
      <c r="J122" s="139" t="s">
        <v>779</v>
      </c>
      <c r="K122" s="139"/>
      <c r="L122" s="140">
        <v>42478</v>
      </c>
      <c r="M122" s="139" t="str">
        <f ca="1" t="shared" si="3"/>
        <v>9年9个月</v>
      </c>
      <c r="N122" s="181" t="s">
        <v>1775</v>
      </c>
      <c r="O122" s="139" t="s">
        <v>782</v>
      </c>
      <c r="P122" s="142">
        <v>31804</v>
      </c>
      <c r="Q122" s="139">
        <v>29</v>
      </c>
      <c r="R122" s="151" t="s">
        <v>1001</v>
      </c>
      <c r="S122" s="139" t="s">
        <v>879</v>
      </c>
      <c r="T122" s="139" t="s">
        <v>1051</v>
      </c>
      <c r="U122" s="139" t="s">
        <v>1776</v>
      </c>
      <c r="V122" s="139" t="s">
        <v>1777</v>
      </c>
      <c r="W122" s="139" t="s">
        <v>1005</v>
      </c>
      <c r="X122" s="139" t="s">
        <v>1021</v>
      </c>
      <c r="Y122" s="139" t="s">
        <v>1778</v>
      </c>
      <c r="Z122" s="139" t="s">
        <v>1779</v>
      </c>
      <c r="AA122" s="152">
        <v>39995</v>
      </c>
      <c r="AB122" s="184">
        <v>18515665113</v>
      </c>
      <c r="AC122" s="185"/>
      <c r="AD122" s="186" t="s">
        <v>1780</v>
      </c>
      <c r="AE122" s="149" t="s">
        <v>1781</v>
      </c>
      <c r="AF122" s="153" t="s">
        <v>1782</v>
      </c>
      <c r="AG122" s="149" t="s">
        <v>1167</v>
      </c>
      <c r="AH122" s="153">
        <v>13813299779</v>
      </c>
      <c r="AI122" s="149"/>
      <c r="AJ122" s="149"/>
      <c r="AK122" s="149"/>
      <c r="AL122" s="140">
        <f>L122</f>
        <v>42478</v>
      </c>
      <c r="AM122" s="142">
        <f>EDATE(AL122,36)-1</f>
        <v>43572</v>
      </c>
      <c r="AN122" s="148">
        <f ca="1">ROUND(AM122-NOW(),0)</f>
        <v>-2480</v>
      </c>
      <c r="AO122" s="149"/>
      <c r="AP122" s="139"/>
      <c r="AQ122" s="137"/>
    </row>
    <row r="123" s="93" customFormat="1" ht="21.75" customHeight="1" spans="1:43">
      <c r="A123" s="122">
        <v>122</v>
      </c>
      <c r="B123" s="170">
        <v>42536</v>
      </c>
      <c r="C123" s="160" t="s">
        <v>1026</v>
      </c>
      <c r="D123" s="158"/>
      <c r="E123" s="158"/>
      <c r="F123" s="161" t="s">
        <v>1783</v>
      </c>
      <c r="G123" s="161" t="s">
        <v>1530</v>
      </c>
      <c r="H123" s="158" t="s">
        <v>1472</v>
      </c>
      <c r="I123" s="160" t="s">
        <v>1784</v>
      </c>
      <c r="J123" s="160" t="s">
        <v>1227</v>
      </c>
      <c r="K123" s="160" t="s">
        <v>227</v>
      </c>
      <c r="L123" s="170">
        <v>42472</v>
      </c>
      <c r="M123" s="160" t="str">
        <f ca="1" t="shared" si="3"/>
        <v>9年9个月</v>
      </c>
      <c r="N123" s="187" t="s">
        <v>1785</v>
      </c>
      <c r="O123" s="160" t="str">
        <f>IF(MOD(MID(N123,17,1),2),"男","女")</f>
        <v>男</v>
      </c>
      <c r="P123" s="163">
        <f>IF(N123="","",IF(AND(LEN(N123)&lt;&gt;15,LEN(N123)&lt;&gt;18),"错误",IF(LEN(N123)=15,DATE(MID(N123,7,2),MID(N123,9,2),MID(N123,11,2)),DATE(MID(N123,7,4),MID(N123,11,2),MID(N123,13,2)))))</f>
        <v>30322</v>
      </c>
      <c r="Q123" s="160">
        <f ca="1">YEAR(NOW())-MID(N123,7,4)</f>
        <v>43</v>
      </c>
      <c r="R123" s="165" t="s">
        <v>1001</v>
      </c>
      <c r="S123" s="160" t="s">
        <v>879</v>
      </c>
      <c r="T123" s="160" t="s">
        <v>1292</v>
      </c>
      <c r="U123" s="160"/>
      <c r="V123" s="160"/>
      <c r="W123" s="160"/>
      <c r="X123" s="160"/>
      <c r="Y123" s="160"/>
      <c r="Z123" s="160"/>
      <c r="AA123" s="166"/>
      <c r="AB123" s="171" t="s">
        <v>1786</v>
      </c>
      <c r="AC123" s="209"/>
      <c r="AD123" s="172"/>
      <c r="AE123" s="167"/>
      <c r="AF123" s="168"/>
      <c r="AG123" s="167"/>
      <c r="AH123" s="168"/>
      <c r="AI123" s="167"/>
      <c r="AJ123" s="167"/>
      <c r="AK123" s="167"/>
      <c r="AL123" s="170"/>
      <c r="AM123" s="163"/>
      <c r="AN123" s="174"/>
      <c r="AO123" s="167"/>
      <c r="AP123" s="160"/>
      <c r="AQ123" s="158"/>
    </row>
    <row r="124" s="92" customFormat="1" ht="21.75" customHeight="1" spans="1:43">
      <c r="A124" s="122">
        <v>123</v>
      </c>
      <c r="B124" s="126">
        <v>42542</v>
      </c>
      <c r="C124" s="125" t="s">
        <v>1026</v>
      </c>
      <c r="D124" s="125" t="s">
        <v>1787</v>
      </c>
      <c r="E124" s="125" t="s">
        <v>1396</v>
      </c>
      <c r="F124" s="127" t="s">
        <v>1788</v>
      </c>
      <c r="G124" s="125" t="s">
        <v>18</v>
      </c>
      <c r="H124" s="123" t="s">
        <v>1431</v>
      </c>
      <c r="I124" s="125" t="s">
        <v>27</v>
      </c>
      <c r="J124" s="125" t="s">
        <v>803</v>
      </c>
      <c r="K124" s="125"/>
      <c r="L124" s="126">
        <v>42198</v>
      </c>
      <c r="M124" s="125" t="str">
        <f ca="1" t="shared" si="3"/>
        <v>10年6个月</v>
      </c>
      <c r="N124" s="183" t="s">
        <v>1789</v>
      </c>
      <c r="O124" s="125" t="s">
        <v>782</v>
      </c>
      <c r="P124" s="128">
        <v>34891</v>
      </c>
      <c r="Q124" s="125">
        <f ca="1">IF(N124="","",IF(AND(LEN(N124)&lt;&gt;15,LEN(N124)&lt;&gt;18),"错误",ROUNDDOWN((NOW()-P124)/365,0)))</f>
        <v>30</v>
      </c>
      <c r="R124" s="155" t="s">
        <v>1001</v>
      </c>
      <c r="S124" s="125" t="s">
        <v>785</v>
      </c>
      <c r="T124" s="125" t="s">
        <v>1002</v>
      </c>
      <c r="U124" s="125" t="s">
        <v>1790</v>
      </c>
      <c r="V124" s="125" t="s">
        <v>1655</v>
      </c>
      <c r="W124" s="125" t="s">
        <v>1005</v>
      </c>
      <c r="X124" s="125" t="s">
        <v>1006</v>
      </c>
      <c r="Y124" s="125" t="s">
        <v>1109</v>
      </c>
      <c r="Z124" s="125" t="s">
        <v>824</v>
      </c>
      <c r="AA124" s="156">
        <v>42522</v>
      </c>
      <c r="AB124" s="176">
        <v>18800112779</v>
      </c>
      <c r="AC124" s="177"/>
      <c r="AD124" s="178" t="s">
        <v>1791</v>
      </c>
      <c r="AE124" s="136" t="s">
        <v>1792</v>
      </c>
      <c r="AF124" s="157" t="s">
        <v>1793</v>
      </c>
      <c r="AG124" s="136" t="s">
        <v>1794</v>
      </c>
      <c r="AH124" s="157">
        <v>13862579932</v>
      </c>
      <c r="AI124" s="136" t="s">
        <v>1035</v>
      </c>
      <c r="AJ124" s="136" t="s">
        <v>105</v>
      </c>
      <c r="AK124" s="136"/>
      <c r="AL124" s="126"/>
      <c r="AM124" s="128"/>
      <c r="AN124" s="135"/>
      <c r="AO124" s="136"/>
      <c r="AP124" s="125"/>
      <c r="AQ124" s="123"/>
    </row>
    <row r="125" s="92" customFormat="1" ht="21.75" customHeight="1" spans="1:43">
      <c r="A125" s="122">
        <v>124</v>
      </c>
      <c r="B125" s="126">
        <v>42542</v>
      </c>
      <c r="C125" s="125" t="s">
        <v>1026</v>
      </c>
      <c r="D125" s="125" t="s">
        <v>1795</v>
      </c>
      <c r="E125" s="125" t="s">
        <v>997</v>
      </c>
      <c r="F125" s="127" t="s">
        <v>1796</v>
      </c>
      <c r="G125" s="125" t="s">
        <v>1797</v>
      </c>
      <c r="H125" s="123" t="s">
        <v>1798</v>
      </c>
      <c r="I125" s="125" t="s">
        <v>27</v>
      </c>
      <c r="J125" s="125" t="s">
        <v>803</v>
      </c>
      <c r="K125" s="125"/>
      <c r="L125" s="126">
        <v>42451</v>
      </c>
      <c r="M125" s="125" t="str">
        <f ca="1" t="shared" si="3"/>
        <v>9年10个月</v>
      </c>
      <c r="N125" s="183" t="s">
        <v>1799</v>
      </c>
      <c r="O125" s="125" t="s">
        <v>794</v>
      </c>
      <c r="P125" s="128">
        <v>34113</v>
      </c>
      <c r="Q125" s="125">
        <v>22</v>
      </c>
      <c r="R125" s="155" t="s">
        <v>1001</v>
      </c>
      <c r="S125" s="125" t="s">
        <v>785</v>
      </c>
      <c r="T125" s="125" t="s">
        <v>1002</v>
      </c>
      <c r="U125" s="125" t="s">
        <v>1800</v>
      </c>
      <c r="V125" s="125" t="s">
        <v>1801</v>
      </c>
      <c r="W125" s="125" t="s">
        <v>1005</v>
      </c>
      <c r="X125" s="125" t="s">
        <v>1006</v>
      </c>
      <c r="Y125" s="125" t="s">
        <v>1109</v>
      </c>
      <c r="Z125" s="125" t="s">
        <v>1802</v>
      </c>
      <c r="AA125" s="156">
        <v>42552</v>
      </c>
      <c r="AB125" s="176">
        <v>18701098365</v>
      </c>
      <c r="AC125" s="177"/>
      <c r="AD125" s="178" t="s">
        <v>1803</v>
      </c>
      <c r="AE125" s="136" t="s">
        <v>1804</v>
      </c>
      <c r="AF125" s="157" t="s">
        <v>1805</v>
      </c>
      <c r="AG125" s="136" t="s">
        <v>1046</v>
      </c>
      <c r="AH125" s="157">
        <v>13598860287</v>
      </c>
      <c r="AI125" s="136" t="s">
        <v>1035</v>
      </c>
      <c r="AJ125" s="136" t="s">
        <v>1806</v>
      </c>
      <c r="AK125" s="136"/>
      <c r="AL125" s="126"/>
      <c r="AM125" s="128"/>
      <c r="AN125" s="135"/>
      <c r="AO125" s="136"/>
      <c r="AP125" s="125"/>
      <c r="AQ125" s="123"/>
    </row>
    <row r="126" s="92" customFormat="1" ht="21.75" customHeight="1" spans="1:43">
      <c r="A126" s="122">
        <v>125</v>
      </c>
      <c r="B126" s="126">
        <v>42543</v>
      </c>
      <c r="C126" s="125" t="s">
        <v>1026</v>
      </c>
      <c r="D126" s="125" t="s">
        <v>1807</v>
      </c>
      <c r="E126" s="125" t="s">
        <v>997</v>
      </c>
      <c r="F126" s="127" t="s">
        <v>1808</v>
      </c>
      <c r="G126" s="125" t="s">
        <v>18</v>
      </c>
      <c r="H126" s="123" t="s">
        <v>1409</v>
      </c>
      <c r="I126" s="125" t="s">
        <v>27</v>
      </c>
      <c r="J126" s="125" t="s">
        <v>803</v>
      </c>
      <c r="K126" s="125"/>
      <c r="L126" s="126">
        <v>42394</v>
      </c>
      <c r="M126" s="125" t="str">
        <f ca="1" t="shared" si="3"/>
        <v>10年0个月</v>
      </c>
      <c r="N126" s="183" t="s">
        <v>1809</v>
      </c>
      <c r="O126" s="125" t="s">
        <v>782</v>
      </c>
      <c r="P126" s="128">
        <v>34160</v>
      </c>
      <c r="Q126" s="125">
        <v>22</v>
      </c>
      <c r="R126" s="155" t="s">
        <v>1810</v>
      </c>
      <c r="S126" s="125" t="s">
        <v>785</v>
      </c>
      <c r="T126" s="125" t="s">
        <v>1002</v>
      </c>
      <c r="U126" s="125" t="s">
        <v>1811</v>
      </c>
      <c r="V126" s="125" t="s">
        <v>1812</v>
      </c>
      <c r="W126" s="125" t="s">
        <v>1005</v>
      </c>
      <c r="X126" s="125" t="s">
        <v>1006</v>
      </c>
      <c r="Y126" s="125" t="s">
        <v>1109</v>
      </c>
      <c r="Z126" s="125" t="s">
        <v>1813</v>
      </c>
      <c r="AA126" s="156">
        <v>42522</v>
      </c>
      <c r="AB126" s="176">
        <v>15911187896</v>
      </c>
      <c r="AC126" s="177"/>
      <c r="AD126" s="178" t="s">
        <v>1814</v>
      </c>
      <c r="AE126" s="136" t="s">
        <v>1815</v>
      </c>
      <c r="AF126" s="157" t="s">
        <v>1816</v>
      </c>
      <c r="AG126" s="136" t="s">
        <v>1137</v>
      </c>
      <c r="AH126" s="157">
        <v>13683528704</v>
      </c>
      <c r="AI126" s="136" t="s">
        <v>1035</v>
      </c>
      <c r="AJ126" s="136" t="s">
        <v>1187</v>
      </c>
      <c r="AK126" s="136"/>
      <c r="AL126" s="126"/>
      <c r="AM126" s="128"/>
      <c r="AN126" s="135"/>
      <c r="AO126" s="136"/>
      <c r="AP126" s="125"/>
      <c r="AQ126" s="123"/>
    </row>
    <row r="127" s="94" customFormat="1" ht="21.75" customHeight="1" spans="1:43">
      <c r="A127" s="122">
        <v>126</v>
      </c>
      <c r="B127" s="140">
        <v>42544</v>
      </c>
      <c r="C127" s="139" t="s">
        <v>1026</v>
      </c>
      <c r="D127" s="137"/>
      <c r="E127" s="137"/>
      <c r="F127" s="141" t="s">
        <v>1817</v>
      </c>
      <c r="G127" s="141" t="s">
        <v>1530</v>
      </c>
      <c r="H127" s="137" t="s">
        <v>1225</v>
      </c>
      <c r="I127" s="139" t="s">
        <v>1226</v>
      </c>
      <c r="J127" s="139" t="s">
        <v>1227</v>
      </c>
      <c r="K127" s="139" t="s">
        <v>227</v>
      </c>
      <c r="L127" s="140">
        <v>42324</v>
      </c>
      <c r="M127" s="139" t="str">
        <f ca="1" t="shared" si="3"/>
        <v>10年2个月</v>
      </c>
      <c r="N127" s="181" t="s">
        <v>1818</v>
      </c>
      <c r="O127" s="139" t="str">
        <f>IF(MOD(MID(N127,17,1),2),"男","女")</f>
        <v>男</v>
      </c>
      <c r="P127" s="142">
        <f>IF(N127="","",IF(AND(LEN(N127)&lt;&gt;15,LEN(N127)&lt;&gt;18),"错误",IF(LEN(N127)=15,DATE(MID(N127,7,2),MID(N127,9,2),MID(N127,11,2)),DATE(MID(N127,7,4),MID(N127,11,2),MID(N127,13,2)))))</f>
        <v>30639</v>
      </c>
      <c r="Q127" s="139">
        <f ca="1">YEAR(NOW())-MID(N127,7,4)</f>
        <v>43</v>
      </c>
      <c r="R127" s="151" t="s">
        <v>1001</v>
      </c>
      <c r="S127" s="139" t="s">
        <v>879</v>
      </c>
      <c r="T127" s="139" t="s">
        <v>1002</v>
      </c>
      <c r="U127" s="139" t="s">
        <v>1819</v>
      </c>
      <c r="V127" s="139" t="s">
        <v>1820</v>
      </c>
      <c r="W127" s="139" t="s">
        <v>1318</v>
      </c>
      <c r="X127" s="139" t="s">
        <v>789</v>
      </c>
      <c r="Y127" s="139" t="s">
        <v>1821</v>
      </c>
      <c r="Z127" s="139" t="s">
        <v>1822</v>
      </c>
      <c r="AA127" s="152">
        <v>39264</v>
      </c>
      <c r="AB127" s="184" t="s">
        <v>1823</v>
      </c>
      <c r="AC127" s="208" t="s">
        <v>1824</v>
      </c>
      <c r="AD127" s="186" t="s">
        <v>1825</v>
      </c>
      <c r="AE127" s="149" t="s">
        <v>1826</v>
      </c>
      <c r="AF127" s="153" t="s">
        <v>1827</v>
      </c>
      <c r="AG127" s="149" t="s">
        <v>1167</v>
      </c>
      <c r="AH127" s="153">
        <v>15988165022</v>
      </c>
      <c r="AI127" s="149" t="s">
        <v>1035</v>
      </c>
      <c r="AJ127" s="149"/>
      <c r="AK127" s="149"/>
      <c r="AL127" s="140">
        <v>42324</v>
      </c>
      <c r="AM127" s="142">
        <v>43054</v>
      </c>
      <c r="AN127" s="148"/>
      <c r="AO127" s="149"/>
      <c r="AP127" s="139"/>
      <c r="AQ127" s="137"/>
    </row>
    <row r="128" s="92" customFormat="1" ht="21.75" customHeight="1" spans="1:43">
      <c r="A128" s="122">
        <v>127</v>
      </c>
      <c r="B128" s="126">
        <v>42545</v>
      </c>
      <c r="C128" s="125" t="s">
        <v>1026</v>
      </c>
      <c r="D128" s="125" t="s">
        <v>1828</v>
      </c>
      <c r="E128" s="132" t="s">
        <v>997</v>
      </c>
      <c r="F128" s="127" t="s">
        <v>1650</v>
      </c>
      <c r="G128" s="125" t="s">
        <v>18</v>
      </c>
      <c r="H128" s="123" t="s">
        <v>1431</v>
      </c>
      <c r="I128" s="125" t="s">
        <v>27</v>
      </c>
      <c r="J128" s="125" t="s">
        <v>803</v>
      </c>
      <c r="K128" s="125"/>
      <c r="L128" s="126">
        <v>42394</v>
      </c>
      <c r="M128" s="125" t="str">
        <f ca="1" t="shared" si="3"/>
        <v>10年0个月</v>
      </c>
      <c r="N128" s="183" t="s">
        <v>1829</v>
      </c>
      <c r="O128" s="125" t="s">
        <v>782</v>
      </c>
      <c r="P128" s="128">
        <v>33999</v>
      </c>
      <c r="Q128" s="125">
        <v>23</v>
      </c>
      <c r="R128" s="155" t="s">
        <v>1001</v>
      </c>
      <c r="S128" s="125" t="s">
        <v>785</v>
      </c>
      <c r="T128" s="125" t="s">
        <v>1002</v>
      </c>
      <c r="U128" s="125" t="s">
        <v>1830</v>
      </c>
      <c r="V128" s="125" t="s">
        <v>1831</v>
      </c>
      <c r="W128" s="125" t="s">
        <v>1005</v>
      </c>
      <c r="X128" s="125" t="s">
        <v>1006</v>
      </c>
      <c r="Y128" s="125" t="s">
        <v>1832</v>
      </c>
      <c r="Z128" s="125" t="s">
        <v>1833</v>
      </c>
      <c r="AA128" s="156">
        <v>43282</v>
      </c>
      <c r="AB128" s="176">
        <v>18810507614</v>
      </c>
      <c r="AC128" s="177"/>
      <c r="AD128" s="178" t="s">
        <v>1834</v>
      </c>
      <c r="AE128" s="136" t="s">
        <v>1835</v>
      </c>
      <c r="AF128" s="157" t="s">
        <v>1836</v>
      </c>
      <c r="AG128" s="136" t="s">
        <v>1046</v>
      </c>
      <c r="AH128" s="157">
        <v>13980536581</v>
      </c>
      <c r="AI128" s="136" t="s">
        <v>1035</v>
      </c>
      <c r="AJ128" s="136" t="s">
        <v>76</v>
      </c>
      <c r="AK128" s="136"/>
      <c r="AL128" s="126"/>
      <c r="AM128" s="128"/>
      <c r="AN128" s="135"/>
      <c r="AO128" s="136"/>
      <c r="AP128" s="125"/>
      <c r="AQ128" s="123"/>
    </row>
    <row r="129" s="92" customFormat="1" ht="21.75" customHeight="1" spans="1:45">
      <c r="A129" s="122">
        <v>128</v>
      </c>
      <c r="B129" s="140">
        <v>42545</v>
      </c>
      <c r="C129" s="139" t="s">
        <v>1026</v>
      </c>
      <c r="D129" s="137"/>
      <c r="E129" s="137" t="s">
        <v>1127</v>
      </c>
      <c r="F129" s="141" t="s">
        <v>1837</v>
      </c>
      <c r="G129" s="141" t="s">
        <v>1530</v>
      </c>
      <c r="H129" s="137" t="s">
        <v>1386</v>
      </c>
      <c r="I129" s="139" t="s">
        <v>281</v>
      </c>
      <c r="J129" s="139" t="s">
        <v>1227</v>
      </c>
      <c r="K129" s="139" t="s">
        <v>227</v>
      </c>
      <c r="L129" s="140">
        <v>42444</v>
      </c>
      <c r="M129" s="139" t="str">
        <f ca="1" t="shared" si="3"/>
        <v>9年10个月</v>
      </c>
      <c r="N129" s="181" t="s">
        <v>1838</v>
      </c>
      <c r="O129" s="139" t="str">
        <f>IF(MOD(MID(N129,17,1),2),"男","女")</f>
        <v>女</v>
      </c>
      <c r="P129" s="142">
        <f>IF(N129="","",IF(AND(LEN(N129)&lt;&gt;15,LEN(N129)&lt;&gt;18),"错误",IF(LEN(N129)=15,DATE(MID(N129,7,2),MID(N129,9,2),MID(N129,11,2)),DATE(MID(N129,7,4),MID(N129,11,2),MID(N129,13,2)))))</f>
        <v>32093</v>
      </c>
      <c r="Q129" s="139">
        <f ca="1">YEAR(NOW())-MID(N129,7,4)</f>
        <v>39</v>
      </c>
      <c r="R129" s="151" t="s">
        <v>1001</v>
      </c>
      <c r="S129" s="139" t="s">
        <v>879</v>
      </c>
      <c r="T129" s="139" t="s">
        <v>1292</v>
      </c>
      <c r="U129" s="139" t="s">
        <v>227</v>
      </c>
      <c r="V129" s="139" t="s">
        <v>1839</v>
      </c>
      <c r="W129" s="139" t="s">
        <v>1840</v>
      </c>
      <c r="X129" s="139" t="s">
        <v>789</v>
      </c>
      <c r="Y129" s="139" t="s">
        <v>1841</v>
      </c>
      <c r="Z129" s="139" t="s">
        <v>1842</v>
      </c>
      <c r="AA129" s="152"/>
      <c r="AB129" s="184">
        <v>13588074538</v>
      </c>
      <c r="AC129" s="208" t="s">
        <v>1843</v>
      </c>
      <c r="AD129" s="186" t="s">
        <v>1844</v>
      </c>
      <c r="AE129" s="149" t="s">
        <v>1839</v>
      </c>
      <c r="AF129" s="153" t="s">
        <v>1845</v>
      </c>
      <c r="AG129" s="149" t="s">
        <v>1846</v>
      </c>
      <c r="AH129" s="153">
        <v>13735571356</v>
      </c>
      <c r="AI129" s="149" t="s">
        <v>1634</v>
      </c>
      <c r="AJ129" s="149"/>
      <c r="AK129" s="149"/>
      <c r="AL129" s="140">
        <v>42444</v>
      </c>
      <c r="AM129" s="142">
        <v>43174</v>
      </c>
      <c r="AN129" s="148"/>
      <c r="AO129" s="149"/>
      <c r="AP129" s="139"/>
      <c r="AQ129" s="137"/>
      <c r="AR129" s="85"/>
      <c r="AS129" s="94"/>
    </row>
    <row r="130" s="94" customFormat="1" ht="21.75" customHeight="1" spans="1:45">
      <c r="A130" s="122">
        <v>129</v>
      </c>
      <c r="B130" s="126">
        <v>42545</v>
      </c>
      <c r="C130" s="125" t="s">
        <v>1013</v>
      </c>
      <c r="D130" s="125" t="s">
        <v>1847</v>
      </c>
      <c r="E130" s="125" t="s">
        <v>1015</v>
      </c>
      <c r="F130" s="127" t="s">
        <v>1848</v>
      </c>
      <c r="G130" s="125" t="s">
        <v>18</v>
      </c>
      <c r="H130" s="123" t="s">
        <v>1431</v>
      </c>
      <c r="I130" s="125" t="s">
        <v>27</v>
      </c>
      <c r="J130" s="125" t="s">
        <v>803</v>
      </c>
      <c r="K130" s="125"/>
      <c r="L130" s="126">
        <v>42461</v>
      </c>
      <c r="M130" s="125" t="str">
        <f ca="1" t="shared" si="3"/>
        <v>9年9个月</v>
      </c>
      <c r="N130" s="183" t="s">
        <v>1849</v>
      </c>
      <c r="O130" s="125" t="s">
        <v>782</v>
      </c>
      <c r="P130" s="128">
        <v>34714</v>
      </c>
      <c r="Q130" s="125">
        <v>21</v>
      </c>
      <c r="R130" s="155" t="s">
        <v>1001</v>
      </c>
      <c r="S130" s="125" t="s">
        <v>785</v>
      </c>
      <c r="T130" s="125" t="s">
        <v>1002</v>
      </c>
      <c r="U130" s="125" t="s">
        <v>1141</v>
      </c>
      <c r="V130" s="125" t="s">
        <v>1042</v>
      </c>
      <c r="W130" s="125" t="s">
        <v>1005</v>
      </c>
      <c r="X130" s="125" t="s">
        <v>789</v>
      </c>
      <c r="Y130" s="125" t="s">
        <v>1109</v>
      </c>
      <c r="Z130" s="125" t="s">
        <v>1218</v>
      </c>
      <c r="AA130" s="156">
        <v>42887</v>
      </c>
      <c r="AB130" s="176">
        <v>13051823509</v>
      </c>
      <c r="AC130" s="177"/>
      <c r="AD130" s="178" t="s">
        <v>1850</v>
      </c>
      <c r="AE130" s="136" t="s">
        <v>1851</v>
      </c>
      <c r="AF130" s="157" t="s">
        <v>1852</v>
      </c>
      <c r="AG130" s="136" t="s">
        <v>1137</v>
      </c>
      <c r="AH130" s="157">
        <v>13706957917</v>
      </c>
      <c r="AI130" s="136" t="s">
        <v>1035</v>
      </c>
      <c r="AJ130" s="136" t="s">
        <v>1853</v>
      </c>
      <c r="AK130" s="136"/>
      <c r="AL130" s="126"/>
      <c r="AM130" s="128"/>
      <c r="AN130" s="135"/>
      <c r="AO130" s="136"/>
      <c r="AP130" s="125"/>
      <c r="AQ130" s="123"/>
      <c r="AR130" s="92"/>
      <c r="AS130" s="92"/>
    </row>
    <row r="131" s="94" customFormat="1" ht="21.75" customHeight="1" spans="1:45">
      <c r="A131" s="122">
        <v>130</v>
      </c>
      <c r="B131" s="140">
        <v>42548</v>
      </c>
      <c r="C131" s="139" t="s">
        <v>1013</v>
      </c>
      <c r="D131" s="139" t="s">
        <v>1854</v>
      </c>
      <c r="E131" s="139" t="s">
        <v>1015</v>
      </c>
      <c r="F131" s="141" t="s">
        <v>1855</v>
      </c>
      <c r="G131" s="139" t="s">
        <v>1772</v>
      </c>
      <c r="H131" s="137" t="s">
        <v>1856</v>
      </c>
      <c r="I131" s="139" t="s">
        <v>1857</v>
      </c>
      <c r="J131" s="139" t="s">
        <v>803</v>
      </c>
      <c r="K131" s="139"/>
      <c r="L131" s="140">
        <v>42366</v>
      </c>
      <c r="M131" s="139" t="str">
        <f ca="1" t="shared" si="3"/>
        <v>10年1个月</v>
      </c>
      <c r="N131" s="181" t="s">
        <v>1858</v>
      </c>
      <c r="O131" s="139" t="s">
        <v>782</v>
      </c>
      <c r="P131" s="142">
        <v>30426</v>
      </c>
      <c r="Q131" s="139">
        <v>32</v>
      </c>
      <c r="R131" s="151" t="s">
        <v>1001</v>
      </c>
      <c r="S131" s="139" t="s">
        <v>879</v>
      </c>
      <c r="T131" s="139" t="s">
        <v>1051</v>
      </c>
      <c r="U131" s="139" t="s">
        <v>1859</v>
      </c>
      <c r="V131" s="139" t="s">
        <v>1860</v>
      </c>
      <c r="W131" s="139" t="s">
        <v>1005</v>
      </c>
      <c r="X131" s="139" t="s">
        <v>974</v>
      </c>
      <c r="Y131" s="139" t="s">
        <v>1861</v>
      </c>
      <c r="Z131" s="139" t="s">
        <v>1862</v>
      </c>
      <c r="AA131" s="152">
        <v>39692</v>
      </c>
      <c r="AB131" s="184">
        <v>13810695299</v>
      </c>
      <c r="AC131" s="185"/>
      <c r="AD131" s="186" t="s">
        <v>1863</v>
      </c>
      <c r="AE131" s="149" t="s">
        <v>1864</v>
      </c>
      <c r="AF131" s="153" t="s">
        <v>1865</v>
      </c>
      <c r="AG131" s="149" t="s">
        <v>1167</v>
      </c>
      <c r="AH131" s="153">
        <v>13552639946</v>
      </c>
      <c r="AI131" s="149" t="s">
        <v>1604</v>
      </c>
      <c r="AJ131" s="149" t="s">
        <v>1866</v>
      </c>
      <c r="AK131" s="149"/>
      <c r="AL131" s="140">
        <f>L131</f>
        <v>42366</v>
      </c>
      <c r="AM131" s="142">
        <f>EDATE(AL131,36)-1</f>
        <v>43461</v>
      </c>
      <c r="AN131" s="148">
        <f ca="1">ROUND(AM131-NOW(),0)</f>
        <v>-2591</v>
      </c>
      <c r="AO131" s="149"/>
      <c r="AP131" s="139"/>
      <c r="AQ131" s="137"/>
      <c r="AR131" s="85"/>
    </row>
    <row r="132" s="94" customFormat="1" ht="21.75" customHeight="1" spans="1:45">
      <c r="A132" s="122">
        <v>131</v>
      </c>
      <c r="B132" s="140">
        <v>42549</v>
      </c>
      <c r="C132" s="139" t="s">
        <v>1013</v>
      </c>
      <c r="D132" s="139" t="s">
        <v>1867</v>
      </c>
      <c r="E132" s="139" t="s">
        <v>1726</v>
      </c>
      <c r="F132" s="141" t="s">
        <v>1868</v>
      </c>
      <c r="G132" s="141" t="s">
        <v>1530</v>
      </c>
      <c r="H132" s="137" t="s">
        <v>1869</v>
      </c>
      <c r="I132" s="139" t="s">
        <v>1870</v>
      </c>
      <c r="J132" s="139" t="s">
        <v>779</v>
      </c>
      <c r="K132" s="139"/>
      <c r="L132" s="140">
        <v>42185</v>
      </c>
      <c r="M132" s="139" t="str">
        <f ca="1" t="shared" si="3"/>
        <v>10年6个月</v>
      </c>
      <c r="N132" s="181" t="s">
        <v>1871</v>
      </c>
      <c r="O132" s="139" t="s">
        <v>782</v>
      </c>
      <c r="P132" s="142">
        <v>28281</v>
      </c>
      <c r="Q132" s="139">
        <f ca="1">IF(N132="","",IF(AND(LEN(N132)&lt;&gt;15,LEN(N132)&lt;&gt;18),"错误",ROUNDDOWN((NOW()-P132)/365,0)))</f>
        <v>48</v>
      </c>
      <c r="R132" s="151" t="s">
        <v>1001</v>
      </c>
      <c r="S132" s="139" t="s">
        <v>879</v>
      </c>
      <c r="T132" s="139" t="s">
        <v>1292</v>
      </c>
      <c r="U132" s="139" t="s">
        <v>1455</v>
      </c>
      <c r="V132" s="139" t="s">
        <v>1872</v>
      </c>
      <c r="W132" s="139" t="s">
        <v>1873</v>
      </c>
      <c r="X132" s="139" t="s">
        <v>789</v>
      </c>
      <c r="Y132" s="139" t="s">
        <v>1874</v>
      </c>
      <c r="Z132" s="139" t="s">
        <v>1875</v>
      </c>
      <c r="AA132" s="152">
        <v>36342</v>
      </c>
      <c r="AB132" s="184">
        <v>13701907526</v>
      </c>
      <c r="AC132" s="185"/>
      <c r="AD132" s="186" t="s">
        <v>1876</v>
      </c>
      <c r="AE132" s="149" t="s">
        <v>1877</v>
      </c>
      <c r="AF132" s="153" t="s">
        <v>1878</v>
      </c>
      <c r="AG132" s="149" t="s">
        <v>1167</v>
      </c>
      <c r="AH132" s="153">
        <v>13701327780</v>
      </c>
      <c r="AI132" s="149" t="s">
        <v>1604</v>
      </c>
      <c r="AJ132" s="149" t="s">
        <v>1879</v>
      </c>
      <c r="AK132" s="149"/>
      <c r="AL132" s="140">
        <f>L132</f>
        <v>42185</v>
      </c>
      <c r="AM132" s="142">
        <f>EDATE(AL132,36)-1</f>
        <v>43280</v>
      </c>
      <c r="AN132" s="148">
        <f ca="1">ROUND(AM132-NOW(),0)</f>
        <v>-2772</v>
      </c>
      <c r="AO132" s="146" t="s">
        <v>123</v>
      </c>
      <c r="AP132" s="137"/>
      <c r="AQ132" s="137"/>
      <c r="AR132" s="85"/>
    </row>
    <row r="133" s="92" customFormat="1" ht="21.75" customHeight="1" spans="1:45">
      <c r="A133" s="122">
        <v>132</v>
      </c>
      <c r="B133" s="126">
        <v>42549</v>
      </c>
      <c r="C133" s="125" t="s">
        <v>1026</v>
      </c>
      <c r="D133" s="125" t="s">
        <v>1880</v>
      </c>
      <c r="E133" s="132" t="s">
        <v>997</v>
      </c>
      <c r="F133" s="127" t="s">
        <v>1881</v>
      </c>
      <c r="G133" s="125" t="s">
        <v>18</v>
      </c>
      <c r="H133" s="123" t="s">
        <v>1882</v>
      </c>
      <c r="I133" s="125" t="s">
        <v>27</v>
      </c>
      <c r="J133" s="125" t="s">
        <v>803</v>
      </c>
      <c r="K133" s="125"/>
      <c r="L133" s="126">
        <v>42268</v>
      </c>
      <c r="M133" s="125" t="str">
        <f ca="1" t="shared" si="3"/>
        <v>10年4个月</v>
      </c>
      <c r="N133" s="183" t="s">
        <v>1883</v>
      </c>
      <c r="O133" s="125" t="s">
        <v>782</v>
      </c>
      <c r="P133" s="128">
        <v>35739</v>
      </c>
      <c r="Q133" s="125">
        <f ca="1">IF(N133="","",IF(AND(LEN(N133)&lt;&gt;15,LEN(N133)&lt;&gt;18),"错误",ROUNDDOWN((NOW()-P133)/365,0)))</f>
        <v>28</v>
      </c>
      <c r="R133" s="155" t="s">
        <v>784</v>
      </c>
      <c r="S133" s="125" t="s">
        <v>785</v>
      </c>
      <c r="T133" s="125" t="s">
        <v>1002</v>
      </c>
      <c r="U133" s="125" t="s">
        <v>1884</v>
      </c>
      <c r="V133" s="125" t="s">
        <v>1109</v>
      </c>
      <c r="W133" s="125" t="s">
        <v>1005</v>
      </c>
      <c r="X133" s="125" t="s">
        <v>1006</v>
      </c>
      <c r="Y133" s="125" t="s">
        <v>1109</v>
      </c>
      <c r="Z133" s="125" t="s">
        <v>1885</v>
      </c>
      <c r="AA133" s="156">
        <v>43617</v>
      </c>
      <c r="AB133" s="176">
        <v>18810810184</v>
      </c>
      <c r="AC133" s="177"/>
      <c r="AD133" s="178" t="s">
        <v>1886</v>
      </c>
      <c r="AE133" s="136" t="s">
        <v>1887</v>
      </c>
      <c r="AF133" s="157" t="s">
        <v>1888</v>
      </c>
      <c r="AG133" s="136" t="s">
        <v>1046</v>
      </c>
      <c r="AH133" s="157">
        <v>15068845648</v>
      </c>
      <c r="AI133" s="136" t="s">
        <v>1035</v>
      </c>
      <c r="AJ133" s="136" t="s">
        <v>579</v>
      </c>
      <c r="AK133" s="136"/>
      <c r="AL133" s="126"/>
      <c r="AM133" s="128"/>
      <c r="AN133" s="135"/>
      <c r="AO133" s="136"/>
      <c r="AP133" s="125"/>
      <c r="AQ133" s="123"/>
      <c r="AR133" s="87"/>
    </row>
    <row r="134" s="92" customFormat="1" ht="21.75" customHeight="1" spans="1:45">
      <c r="A134" s="122">
        <v>133</v>
      </c>
      <c r="B134" s="126">
        <v>42549</v>
      </c>
      <c r="C134" s="125" t="s">
        <v>1026</v>
      </c>
      <c r="D134" s="125" t="s">
        <v>1889</v>
      </c>
      <c r="E134" s="132" t="s">
        <v>997</v>
      </c>
      <c r="F134" s="127" t="s">
        <v>1890</v>
      </c>
      <c r="G134" s="125" t="s">
        <v>18</v>
      </c>
      <c r="H134" s="123" t="s">
        <v>1882</v>
      </c>
      <c r="I134" s="125" t="s">
        <v>27</v>
      </c>
      <c r="J134" s="125" t="s">
        <v>803</v>
      </c>
      <c r="K134" s="125"/>
      <c r="L134" s="126">
        <v>42348</v>
      </c>
      <c r="M134" s="125" t="str">
        <f ca="1" t="shared" si="3"/>
        <v>10年1个月</v>
      </c>
      <c r="N134" s="183" t="s">
        <v>1891</v>
      </c>
      <c r="O134" s="125" t="s">
        <v>782</v>
      </c>
      <c r="P134" s="128">
        <v>35552</v>
      </c>
      <c r="Q134" s="125">
        <v>18</v>
      </c>
      <c r="R134" s="155" t="s">
        <v>1001</v>
      </c>
      <c r="S134" s="125" t="s">
        <v>785</v>
      </c>
      <c r="T134" s="125" t="s">
        <v>1002</v>
      </c>
      <c r="U134" s="125" t="s">
        <v>1892</v>
      </c>
      <c r="V134" s="125" t="s">
        <v>1411</v>
      </c>
      <c r="W134" s="125" t="s">
        <v>1005</v>
      </c>
      <c r="X134" s="125" t="s">
        <v>1006</v>
      </c>
      <c r="Y134" s="125" t="s">
        <v>1031</v>
      </c>
      <c r="Z134" s="125" t="s">
        <v>824</v>
      </c>
      <c r="AA134" s="156">
        <v>43647</v>
      </c>
      <c r="AB134" s="176">
        <v>13375986236</v>
      </c>
      <c r="AC134" s="177"/>
      <c r="AD134" s="178" t="s">
        <v>1893</v>
      </c>
      <c r="AE134" s="136" t="s">
        <v>1894</v>
      </c>
      <c r="AF134" s="157" t="s">
        <v>1895</v>
      </c>
      <c r="AG134" s="136" t="s">
        <v>1794</v>
      </c>
      <c r="AH134" s="157">
        <v>13600885365</v>
      </c>
      <c r="AI134" s="136" t="s">
        <v>1035</v>
      </c>
      <c r="AJ134" s="136" t="s">
        <v>254</v>
      </c>
      <c r="AK134" s="136"/>
      <c r="AL134" s="126"/>
      <c r="AM134" s="128"/>
      <c r="AN134" s="135"/>
      <c r="AO134" s="136"/>
      <c r="AP134" s="125"/>
      <c r="AQ134" s="123"/>
      <c r="AR134" s="87"/>
    </row>
    <row r="135" s="94" customFormat="1" ht="21.75" customHeight="1" spans="1:45">
      <c r="A135" s="122">
        <v>134</v>
      </c>
      <c r="B135" s="140">
        <v>42551</v>
      </c>
      <c r="C135" s="139" t="s">
        <v>1013</v>
      </c>
      <c r="D135" s="139" t="s">
        <v>1867</v>
      </c>
      <c r="E135" s="139" t="s">
        <v>1726</v>
      </c>
      <c r="F135" s="141" t="s">
        <v>1896</v>
      </c>
      <c r="G135" s="139" t="s">
        <v>1772</v>
      </c>
      <c r="H135" s="137" t="s">
        <v>1773</v>
      </c>
      <c r="I135" s="139" t="s">
        <v>1897</v>
      </c>
      <c r="J135" s="139" t="s">
        <v>779</v>
      </c>
      <c r="K135" s="139"/>
      <c r="L135" s="140">
        <v>42269</v>
      </c>
      <c r="M135" s="139" t="str">
        <f ca="1" t="shared" si="3"/>
        <v>10年4个月</v>
      </c>
      <c r="N135" s="181" t="s">
        <v>1898</v>
      </c>
      <c r="O135" s="139" t="s">
        <v>782</v>
      </c>
      <c r="P135" s="142">
        <v>29567</v>
      </c>
      <c r="Q135" s="139">
        <f ca="1">IF(N135="","",IF(AND(LEN(N135)&lt;&gt;15,LEN(N135)&lt;&gt;18),"错误",ROUNDDOWN((NOW()-P135)/365,0)))</f>
        <v>45</v>
      </c>
      <c r="R135" s="151" t="s">
        <v>1001</v>
      </c>
      <c r="S135" s="139" t="s">
        <v>879</v>
      </c>
      <c r="T135" s="139" t="s">
        <v>1051</v>
      </c>
      <c r="U135" s="139" t="s">
        <v>21</v>
      </c>
      <c r="V135" s="139" t="s">
        <v>1899</v>
      </c>
      <c r="W135" s="139" t="s">
        <v>1005</v>
      </c>
      <c r="X135" s="139" t="s">
        <v>974</v>
      </c>
      <c r="Y135" s="139" t="s">
        <v>1109</v>
      </c>
      <c r="Z135" s="139" t="s">
        <v>1056</v>
      </c>
      <c r="AA135" s="152">
        <v>39448</v>
      </c>
      <c r="AB135" s="185">
        <v>18610578575</v>
      </c>
      <c r="AC135" s="185"/>
      <c r="AD135" s="186" t="s">
        <v>1900</v>
      </c>
      <c r="AE135" s="149" t="s">
        <v>1901</v>
      </c>
      <c r="AF135" s="153" t="s">
        <v>1902</v>
      </c>
      <c r="AG135" s="149" t="s">
        <v>1167</v>
      </c>
      <c r="AH135" s="153">
        <v>18600758710</v>
      </c>
      <c r="AI135" s="149" t="s">
        <v>1035</v>
      </c>
      <c r="AJ135" s="149" t="s">
        <v>204</v>
      </c>
      <c r="AK135" s="149"/>
      <c r="AL135" s="140">
        <f>L135</f>
        <v>42269</v>
      </c>
      <c r="AM135" s="142">
        <f>EDATE(AL135,36)-1</f>
        <v>43364</v>
      </c>
      <c r="AN135" s="148">
        <f ca="1">ROUND(AM135-NOW(),0)</f>
        <v>-2688</v>
      </c>
      <c r="AO135" s="146" t="s">
        <v>123</v>
      </c>
      <c r="AP135" s="137"/>
      <c r="AQ135" s="137"/>
      <c r="AR135" s="85"/>
    </row>
    <row r="136" s="94" customFormat="1" ht="21.75" customHeight="1" spans="1:45">
      <c r="A136" s="122">
        <v>135</v>
      </c>
      <c r="B136" s="140">
        <v>42552</v>
      </c>
      <c r="C136" s="139" t="s">
        <v>1026</v>
      </c>
      <c r="D136" s="139" t="s">
        <v>1903</v>
      </c>
      <c r="E136" s="139" t="s">
        <v>1127</v>
      </c>
      <c r="F136" s="141" t="s">
        <v>1904</v>
      </c>
      <c r="G136" s="141" t="s">
        <v>1530</v>
      </c>
      <c r="H136" s="137" t="s">
        <v>1905</v>
      </c>
      <c r="I136" s="139" t="s">
        <v>1906</v>
      </c>
      <c r="J136" s="139" t="s">
        <v>779</v>
      </c>
      <c r="K136" s="139"/>
      <c r="L136" s="140">
        <v>42439</v>
      </c>
      <c r="M136" s="139" t="str">
        <f ca="1" t="shared" si="3"/>
        <v>9年10个月</v>
      </c>
      <c r="N136" s="181" t="s">
        <v>1907</v>
      </c>
      <c r="O136" s="139" t="s">
        <v>782</v>
      </c>
      <c r="P136" s="142">
        <v>31566</v>
      </c>
      <c r="Q136" s="139">
        <v>29</v>
      </c>
      <c r="R136" s="151" t="s">
        <v>1001</v>
      </c>
      <c r="S136" s="139" t="s">
        <v>879</v>
      </c>
      <c r="T136" s="139" t="s">
        <v>1051</v>
      </c>
      <c r="U136" s="139" t="s">
        <v>1908</v>
      </c>
      <c r="V136" s="139" t="s">
        <v>1909</v>
      </c>
      <c r="W136" s="139" t="s">
        <v>1054</v>
      </c>
      <c r="X136" s="139" t="s">
        <v>974</v>
      </c>
      <c r="Y136" s="139" t="s">
        <v>1910</v>
      </c>
      <c r="Z136" s="139" t="s">
        <v>1056</v>
      </c>
      <c r="AA136" s="152">
        <v>40360</v>
      </c>
      <c r="AB136" s="184">
        <v>18552045949</v>
      </c>
      <c r="AC136" s="185"/>
      <c r="AD136" s="186" t="s">
        <v>1911</v>
      </c>
      <c r="AE136" s="149" t="s">
        <v>1912</v>
      </c>
      <c r="AF136" s="153" t="s">
        <v>1913</v>
      </c>
      <c r="AG136" s="149" t="s">
        <v>1059</v>
      </c>
      <c r="AH136" s="153">
        <v>18605100628</v>
      </c>
      <c r="AI136" s="149" t="s">
        <v>1060</v>
      </c>
      <c r="AJ136" s="149"/>
      <c r="AK136" s="149"/>
      <c r="AL136" s="140">
        <f>L136</f>
        <v>42439</v>
      </c>
      <c r="AM136" s="142">
        <f>EDATE(AL136,36)-1</f>
        <v>43533</v>
      </c>
      <c r="AN136" s="148">
        <f ca="1">ROUND(AM136-NOW(),0)</f>
        <v>-2519</v>
      </c>
      <c r="AO136" s="149"/>
      <c r="AP136" s="139"/>
      <c r="AQ136" s="137"/>
      <c r="AR136" s="85"/>
    </row>
    <row r="137" s="92" customFormat="1" ht="21.75" customHeight="1" spans="1:45">
      <c r="A137" s="122">
        <v>136</v>
      </c>
      <c r="B137" s="126">
        <v>42555</v>
      </c>
      <c r="C137" s="125" t="s">
        <v>1013</v>
      </c>
      <c r="D137" s="125" t="s">
        <v>1914</v>
      </c>
      <c r="E137" s="125"/>
      <c r="F137" s="127" t="s">
        <v>1915</v>
      </c>
      <c r="G137" s="125" t="s">
        <v>18</v>
      </c>
      <c r="H137" s="123" t="s">
        <v>1882</v>
      </c>
      <c r="I137" s="125" t="s">
        <v>27</v>
      </c>
      <c r="J137" s="125" t="s">
        <v>803</v>
      </c>
      <c r="K137" s="125"/>
      <c r="L137" s="126">
        <v>42419</v>
      </c>
      <c r="M137" s="125" t="str">
        <f ca="1" t="shared" si="3"/>
        <v>9年11个月</v>
      </c>
      <c r="N137" s="183" t="s">
        <v>1916</v>
      </c>
      <c r="O137" s="125" t="s">
        <v>782</v>
      </c>
      <c r="P137" s="128">
        <v>35386</v>
      </c>
      <c r="Q137" s="125">
        <v>19</v>
      </c>
      <c r="R137" s="155" t="s">
        <v>1001</v>
      </c>
      <c r="S137" s="125" t="s">
        <v>785</v>
      </c>
      <c r="T137" s="125" t="s">
        <v>1002</v>
      </c>
      <c r="U137" s="125" t="s">
        <v>1588</v>
      </c>
      <c r="V137" s="125" t="s">
        <v>1109</v>
      </c>
      <c r="W137" s="125" t="s">
        <v>1005</v>
      </c>
      <c r="X137" s="125" t="s">
        <v>1006</v>
      </c>
      <c r="Y137" s="125" t="s">
        <v>1109</v>
      </c>
      <c r="Z137" s="125" t="s">
        <v>1917</v>
      </c>
      <c r="AA137" s="156">
        <v>43647</v>
      </c>
      <c r="AB137" s="176">
        <v>18811317829</v>
      </c>
      <c r="AC137" s="177"/>
      <c r="AD137" s="178" t="s">
        <v>1918</v>
      </c>
      <c r="AE137" s="136" t="s">
        <v>1919</v>
      </c>
      <c r="AF137" s="157" t="s">
        <v>1920</v>
      </c>
      <c r="AG137" s="136" t="s">
        <v>1011</v>
      </c>
      <c r="AH137" s="157">
        <v>13586611129</v>
      </c>
      <c r="AI137" s="136" t="s">
        <v>1035</v>
      </c>
      <c r="AJ137" s="136" t="s">
        <v>1881</v>
      </c>
      <c r="AK137" s="136"/>
      <c r="AL137" s="126"/>
      <c r="AM137" s="128"/>
      <c r="AN137" s="135"/>
      <c r="AO137" s="136"/>
      <c r="AP137" s="125"/>
      <c r="AQ137" s="123"/>
      <c r="AR137" s="87"/>
    </row>
    <row r="138" s="94" customFormat="1" ht="21.75" customHeight="1" spans="1:45">
      <c r="A138" s="122">
        <v>137</v>
      </c>
      <c r="B138" s="140">
        <v>42556</v>
      </c>
      <c r="C138" s="139" t="s">
        <v>1026</v>
      </c>
      <c r="D138" s="139" t="s">
        <v>1921</v>
      </c>
      <c r="E138" s="139" t="s">
        <v>1127</v>
      </c>
      <c r="F138" s="141" t="s">
        <v>1922</v>
      </c>
      <c r="G138" s="139" t="s">
        <v>1772</v>
      </c>
      <c r="H138" s="137" t="s">
        <v>1773</v>
      </c>
      <c r="I138" s="139" t="s">
        <v>1923</v>
      </c>
      <c r="J138" s="139" t="s">
        <v>779</v>
      </c>
      <c r="K138" s="139"/>
      <c r="L138" s="140">
        <v>42269</v>
      </c>
      <c r="M138" s="139" t="str">
        <f ca="1" t="shared" si="3"/>
        <v>10年4个月</v>
      </c>
      <c r="N138" s="181" t="s">
        <v>1924</v>
      </c>
      <c r="O138" s="139" t="s">
        <v>782</v>
      </c>
      <c r="P138" s="142">
        <v>29718</v>
      </c>
      <c r="Q138" s="139">
        <f ca="1">IF(N138="","",IF(AND(LEN(N138)&lt;&gt;15,LEN(N138)&lt;&gt;18),"错误",ROUNDDOWN((NOW()-P138)/365,0)))</f>
        <v>44</v>
      </c>
      <c r="R138" s="151" t="s">
        <v>1274</v>
      </c>
      <c r="S138" s="139" t="s">
        <v>879</v>
      </c>
      <c r="T138" s="139" t="s">
        <v>1002</v>
      </c>
      <c r="U138" s="139" t="s">
        <v>21</v>
      </c>
      <c r="V138" s="139" t="s">
        <v>1925</v>
      </c>
      <c r="W138" s="139" t="s">
        <v>1054</v>
      </c>
      <c r="X138" s="139" t="s">
        <v>974</v>
      </c>
      <c r="Y138" s="139" t="s">
        <v>1402</v>
      </c>
      <c r="Z138" s="139" t="s">
        <v>1926</v>
      </c>
      <c r="AA138" s="152">
        <v>39845</v>
      </c>
      <c r="AB138" s="185">
        <v>13683548892</v>
      </c>
      <c r="AC138" s="185"/>
      <c r="AD138" s="186" t="s">
        <v>1927</v>
      </c>
      <c r="AE138" s="149" t="s">
        <v>1925</v>
      </c>
      <c r="AF138" s="153" t="s">
        <v>1928</v>
      </c>
      <c r="AG138" s="149" t="s">
        <v>1167</v>
      </c>
      <c r="AH138" s="153">
        <v>18910893290</v>
      </c>
      <c r="AI138" s="149" t="s">
        <v>1035</v>
      </c>
      <c r="AJ138" s="149" t="s">
        <v>204</v>
      </c>
      <c r="AK138" s="149"/>
      <c r="AL138" s="140">
        <f>L138</f>
        <v>42269</v>
      </c>
      <c r="AM138" s="142">
        <f>EDATE(AL138,36)-1</f>
        <v>43364</v>
      </c>
      <c r="AN138" s="148">
        <f ca="1">ROUND(AM138-NOW(),0)</f>
        <v>-2688</v>
      </c>
      <c r="AO138" s="146" t="s">
        <v>123</v>
      </c>
      <c r="AP138" s="137"/>
      <c r="AQ138" s="137"/>
      <c r="AR138" s="85"/>
    </row>
    <row r="139" s="94" customFormat="1" ht="21.75" customHeight="1" spans="1:45">
      <c r="A139" s="122">
        <v>138</v>
      </c>
      <c r="B139" s="140">
        <v>42556</v>
      </c>
      <c r="C139" s="139" t="s">
        <v>1026</v>
      </c>
      <c r="D139" s="139" t="s">
        <v>1921</v>
      </c>
      <c r="E139" s="139" t="s">
        <v>1127</v>
      </c>
      <c r="F139" s="141" t="s">
        <v>1929</v>
      </c>
      <c r="G139" s="139" t="s">
        <v>1772</v>
      </c>
      <c r="H139" s="137" t="s">
        <v>1773</v>
      </c>
      <c r="I139" s="139" t="s">
        <v>1930</v>
      </c>
      <c r="J139" s="139" t="s">
        <v>779</v>
      </c>
      <c r="K139" s="139"/>
      <c r="L139" s="140">
        <v>42269</v>
      </c>
      <c r="M139" s="139" t="str">
        <f ca="1" t="shared" si="3"/>
        <v>10年4个月</v>
      </c>
      <c r="N139" s="181" t="s">
        <v>1931</v>
      </c>
      <c r="O139" s="139" t="s">
        <v>782</v>
      </c>
      <c r="P139" s="142">
        <v>29782</v>
      </c>
      <c r="Q139" s="139">
        <f ca="1">IF(N139="","",IF(AND(LEN(N139)&lt;&gt;15,LEN(N139)&lt;&gt;18),"错误",ROUNDDOWN((NOW()-P139)/365,0)))</f>
        <v>44</v>
      </c>
      <c r="R139" s="151" t="s">
        <v>1001</v>
      </c>
      <c r="S139" s="139" t="s">
        <v>1349</v>
      </c>
      <c r="T139" s="139" t="s">
        <v>1002</v>
      </c>
      <c r="U139" s="139" t="s">
        <v>21</v>
      </c>
      <c r="V139" s="139" t="s">
        <v>1932</v>
      </c>
      <c r="W139" s="139" t="s">
        <v>1005</v>
      </c>
      <c r="X139" s="139" t="s">
        <v>974</v>
      </c>
      <c r="Y139" s="139" t="s">
        <v>1109</v>
      </c>
      <c r="Z139" s="139" t="s">
        <v>1933</v>
      </c>
      <c r="AA139" s="152">
        <v>38899</v>
      </c>
      <c r="AB139" s="184">
        <v>13910177403</v>
      </c>
      <c r="AC139" s="185"/>
      <c r="AD139" s="186" t="s">
        <v>1934</v>
      </c>
      <c r="AE139" s="149" t="s">
        <v>1932</v>
      </c>
      <c r="AF139" s="153" t="s">
        <v>1935</v>
      </c>
      <c r="AG139" s="149" t="s">
        <v>1936</v>
      </c>
      <c r="AH139" s="153">
        <v>15600790916</v>
      </c>
      <c r="AI139" s="149" t="s">
        <v>1035</v>
      </c>
      <c r="AJ139" s="149" t="s">
        <v>204</v>
      </c>
      <c r="AK139" s="149"/>
      <c r="AL139" s="140">
        <f>L139</f>
        <v>42269</v>
      </c>
      <c r="AM139" s="142">
        <f>EDATE(AL139,36)-1</f>
        <v>43364</v>
      </c>
      <c r="AN139" s="148">
        <f ca="1">ROUND(AM139-NOW(),0)</f>
        <v>-2688</v>
      </c>
      <c r="AO139" s="146" t="s">
        <v>123</v>
      </c>
      <c r="AP139" s="137"/>
      <c r="AQ139" s="137"/>
      <c r="AR139" s="85"/>
    </row>
    <row r="140" s="92" customFormat="1" ht="21.75" customHeight="1" spans="1:45">
      <c r="A140" s="122">
        <v>139</v>
      </c>
      <c r="B140" s="126">
        <v>42557</v>
      </c>
      <c r="C140" s="125" t="s">
        <v>1026</v>
      </c>
      <c r="D140" s="125"/>
      <c r="E140" s="125" t="s">
        <v>1396</v>
      </c>
      <c r="F140" s="127" t="s">
        <v>1937</v>
      </c>
      <c r="G140" s="125" t="s">
        <v>18</v>
      </c>
      <c r="H140" s="123" t="s">
        <v>1938</v>
      </c>
      <c r="I140" s="125" t="s">
        <v>27</v>
      </c>
      <c r="J140" s="125" t="s">
        <v>803</v>
      </c>
      <c r="K140" s="125"/>
      <c r="L140" s="126">
        <v>42261</v>
      </c>
      <c r="M140" s="125" t="str">
        <f ca="1" t="shared" si="3"/>
        <v>10年4个月</v>
      </c>
      <c r="N140" s="183" t="s">
        <v>1939</v>
      </c>
      <c r="O140" s="125" t="s">
        <v>782</v>
      </c>
      <c r="P140" s="128">
        <v>34459</v>
      </c>
      <c r="Q140" s="125">
        <f ca="1">IF(N140="","",IF(AND(LEN(N140)&lt;&gt;15,LEN(N140)&lt;&gt;18),"错误",ROUNDDOWN((NOW()-P140)/365,0)))</f>
        <v>31</v>
      </c>
      <c r="R140" s="155" t="s">
        <v>1001</v>
      </c>
      <c r="S140" s="125" t="s">
        <v>785</v>
      </c>
      <c r="T140" s="125" t="s">
        <v>1002</v>
      </c>
      <c r="U140" s="125" t="s">
        <v>1940</v>
      </c>
      <c r="V140" s="125" t="s">
        <v>1941</v>
      </c>
      <c r="W140" s="125" t="s">
        <v>1005</v>
      </c>
      <c r="X140" s="125" t="s">
        <v>1006</v>
      </c>
      <c r="Y140" s="125" t="s">
        <v>1031</v>
      </c>
      <c r="Z140" s="125" t="s">
        <v>824</v>
      </c>
      <c r="AA140" s="156">
        <v>42522</v>
      </c>
      <c r="AB140" s="176">
        <v>18811583693</v>
      </c>
      <c r="AC140" s="176"/>
      <c r="AD140" s="189" t="s">
        <v>1942</v>
      </c>
      <c r="AE140" s="136" t="s">
        <v>1943</v>
      </c>
      <c r="AF140" s="157" t="s">
        <v>1944</v>
      </c>
      <c r="AG140" s="136" t="s">
        <v>1794</v>
      </c>
      <c r="AH140" s="157">
        <v>13303414253</v>
      </c>
      <c r="AI140" s="136" t="s">
        <v>1035</v>
      </c>
      <c r="AJ140" s="136" t="s">
        <v>1187</v>
      </c>
      <c r="AK140" s="136"/>
      <c r="AL140" s="126"/>
      <c r="AM140" s="128"/>
      <c r="AN140" s="135"/>
      <c r="AO140" s="136"/>
      <c r="AP140" s="125"/>
      <c r="AQ140" s="123"/>
      <c r="AR140" s="87"/>
    </row>
    <row r="141" s="94" customFormat="1" ht="21.75" customHeight="1" spans="1:45">
      <c r="A141" s="122">
        <v>140</v>
      </c>
      <c r="B141" s="140">
        <v>42558</v>
      </c>
      <c r="C141" s="139" t="s">
        <v>1013</v>
      </c>
      <c r="D141" s="139"/>
      <c r="E141" s="139" t="s">
        <v>1015</v>
      </c>
      <c r="F141" s="141" t="s">
        <v>1945</v>
      </c>
      <c r="G141" s="139" t="s">
        <v>1530</v>
      </c>
      <c r="H141" s="137" t="s">
        <v>1946</v>
      </c>
      <c r="I141" s="139" t="s">
        <v>1947</v>
      </c>
      <c r="J141" s="139" t="s">
        <v>779</v>
      </c>
      <c r="K141" s="139"/>
      <c r="L141" s="140">
        <v>42457</v>
      </c>
      <c r="M141" s="139" t="str">
        <f ca="1" t="shared" si="3"/>
        <v>9年10个月</v>
      </c>
      <c r="N141" s="181" t="s">
        <v>1948</v>
      </c>
      <c r="O141" s="139" t="s">
        <v>782</v>
      </c>
      <c r="P141" s="142">
        <v>27795</v>
      </c>
      <c r="Q141" s="139">
        <v>40</v>
      </c>
      <c r="R141" s="151" t="s">
        <v>1001</v>
      </c>
      <c r="S141" s="139" t="s">
        <v>879</v>
      </c>
      <c r="T141" s="139" t="s">
        <v>1051</v>
      </c>
      <c r="U141" s="139" t="s">
        <v>1949</v>
      </c>
      <c r="V141" s="139" t="s">
        <v>1950</v>
      </c>
      <c r="W141" s="139" t="s">
        <v>1005</v>
      </c>
      <c r="X141" s="139" t="s">
        <v>1006</v>
      </c>
      <c r="Y141" s="139" t="s">
        <v>1445</v>
      </c>
      <c r="Z141" s="139">
        <v>0</v>
      </c>
      <c r="AA141" s="152">
        <v>36312</v>
      </c>
      <c r="AB141" s="184">
        <v>18588880629</v>
      </c>
      <c r="AC141" s="185"/>
      <c r="AD141" s="186">
        <v>0</v>
      </c>
      <c r="AE141" s="149" t="s">
        <v>1950</v>
      </c>
      <c r="AF141" s="153" t="s">
        <v>1951</v>
      </c>
      <c r="AG141" s="149" t="s">
        <v>1167</v>
      </c>
      <c r="AH141" s="153">
        <v>18588662529</v>
      </c>
      <c r="AI141" s="149" t="s">
        <v>1060</v>
      </c>
      <c r="AJ141" s="149"/>
      <c r="AK141" s="149"/>
      <c r="AL141" s="140">
        <f>L141</f>
        <v>42457</v>
      </c>
      <c r="AM141" s="142">
        <f>EDATE(AL141,36)-1</f>
        <v>43551</v>
      </c>
      <c r="AN141" s="148">
        <f ca="1">ROUND(AM141-NOW(),0)</f>
        <v>-2501</v>
      </c>
      <c r="AO141" s="149"/>
      <c r="AP141" s="139"/>
      <c r="AQ141" s="137"/>
      <c r="AR141" s="85"/>
    </row>
    <row r="142" s="94" customFormat="1" ht="21.75" customHeight="1" spans="1:45">
      <c r="A142" s="122">
        <v>141</v>
      </c>
      <c r="B142" s="140">
        <v>42559</v>
      </c>
      <c r="C142" s="139" t="s">
        <v>1013</v>
      </c>
      <c r="D142" s="137" t="s">
        <v>1952</v>
      </c>
      <c r="E142" s="139" t="s">
        <v>1015</v>
      </c>
      <c r="F142" s="141" t="s">
        <v>1953</v>
      </c>
      <c r="G142" s="137" t="s">
        <v>1224</v>
      </c>
      <c r="H142" s="137" t="s">
        <v>1954</v>
      </c>
      <c r="I142" s="137" t="s">
        <v>1955</v>
      </c>
      <c r="J142" s="137" t="s">
        <v>779</v>
      </c>
      <c r="K142" s="137"/>
      <c r="L142" s="140">
        <v>41519</v>
      </c>
      <c r="M142" s="139" t="str">
        <f ca="1" t="shared" si="3"/>
        <v>12年4个月</v>
      </c>
      <c r="N142" s="181" t="s">
        <v>1956</v>
      </c>
      <c r="O142" s="139" t="str">
        <f>IF(N142="","",IF(AND(LEN(N142)&lt;&gt;15,LEN(N142)&lt;&gt;18),"错误",IF(MOD(IF(LEN(N142)=15,MID(N142,15,1),MID(N142,17,1)),2)=1,"男","女")))</f>
        <v>女</v>
      </c>
      <c r="P142" s="142">
        <f>IF(N142="","",IF(AND(LEN(N142)&lt;&gt;15,LEN(N142)&lt;&gt;18),"错误",IF(LEN(N142)=15,DATE(MID(N142,7,2),MID(N142,9,2),MID(N142,11,2)),DATE(MID(N142,7,4),MID(N142,11,2),MID(N142,13,2)))))</f>
        <v>32655</v>
      </c>
      <c r="Q142" s="139">
        <f ca="1">IF(N142="","",IF(AND(LEN(N142)&lt;&gt;15,LEN(N142)&lt;&gt;18),"错误",ROUNDDOWN((NOW()-P142)/365,0)))</f>
        <v>36</v>
      </c>
      <c r="R142" s="151" t="s">
        <v>1001</v>
      </c>
      <c r="S142" s="137" t="s">
        <v>785</v>
      </c>
      <c r="T142" s="137" t="s">
        <v>1002</v>
      </c>
      <c r="U142" s="139" t="s">
        <v>1073</v>
      </c>
      <c r="V142" s="139" t="s">
        <v>1957</v>
      </c>
      <c r="W142" s="137" t="s">
        <v>832</v>
      </c>
      <c r="X142" s="139" t="s">
        <v>1021</v>
      </c>
      <c r="Y142" s="137" t="s">
        <v>1958</v>
      </c>
      <c r="Z142" s="137" t="s">
        <v>1959</v>
      </c>
      <c r="AA142" s="145"/>
      <c r="AB142" s="122">
        <v>18601386248</v>
      </c>
      <c r="AC142" s="147"/>
      <c r="AD142" s="146" t="s">
        <v>1960</v>
      </c>
      <c r="AE142" s="146" t="s">
        <v>1961</v>
      </c>
      <c r="AF142" s="147" t="s">
        <v>1962</v>
      </c>
      <c r="AG142" s="146" t="s">
        <v>1963</v>
      </c>
      <c r="AH142" s="147">
        <v>13091897219</v>
      </c>
      <c r="AI142" s="146" t="s">
        <v>1080</v>
      </c>
      <c r="AJ142" s="146"/>
      <c r="AK142" s="146"/>
      <c r="AL142" s="142">
        <v>41699</v>
      </c>
      <c r="AM142" s="142">
        <v>42429</v>
      </c>
      <c r="AN142" s="148">
        <f ca="1">ROUND(AM142-NOW(),0)</f>
        <v>-3623</v>
      </c>
      <c r="AO142" s="149"/>
      <c r="AP142" s="139"/>
      <c r="AQ142" s="137"/>
      <c r="AR142" s="85"/>
    </row>
    <row r="143" s="94" customFormat="1" ht="21.75" customHeight="1" spans="1:45">
      <c r="A143" s="122">
        <v>142</v>
      </c>
      <c r="B143" s="140">
        <v>42559</v>
      </c>
      <c r="C143" s="139" t="s">
        <v>1026</v>
      </c>
      <c r="D143" s="139"/>
      <c r="E143" s="139" t="s">
        <v>1964</v>
      </c>
      <c r="F143" s="141" t="s">
        <v>1965</v>
      </c>
      <c r="G143" s="139" t="s">
        <v>1566</v>
      </c>
      <c r="H143" s="137" t="s">
        <v>1252</v>
      </c>
      <c r="I143" s="139" t="s">
        <v>1966</v>
      </c>
      <c r="J143" s="139" t="s">
        <v>803</v>
      </c>
      <c r="K143" s="139"/>
      <c r="L143" s="140">
        <v>42394</v>
      </c>
      <c r="M143" s="139" t="str">
        <f ca="1" t="shared" ref="M143:M164" si="4">IF(L143="","",DATEDIF(L143,NOW(),"Y")&amp;"年"&amp;MOD(DATEDIF(L143,NOW(),"M"),12)&amp;"个月")</f>
        <v>10年0个月</v>
      </c>
      <c r="N143" s="181" t="s">
        <v>1967</v>
      </c>
      <c r="O143" s="139" t="s">
        <v>794</v>
      </c>
      <c r="P143" s="142">
        <v>32849</v>
      </c>
      <c r="Q143" s="139">
        <v>26</v>
      </c>
      <c r="R143" s="151" t="s">
        <v>1001</v>
      </c>
      <c r="S143" s="139" t="s">
        <v>785</v>
      </c>
      <c r="T143" s="139" t="s">
        <v>1002</v>
      </c>
      <c r="U143" s="139">
        <v>0</v>
      </c>
      <c r="V143" s="139" t="s">
        <v>1968</v>
      </c>
      <c r="W143" s="139" t="s">
        <v>1005</v>
      </c>
      <c r="X143" s="139" t="s">
        <v>1006</v>
      </c>
      <c r="Y143" s="139" t="s">
        <v>1969</v>
      </c>
      <c r="Z143" s="139" t="s">
        <v>1970</v>
      </c>
      <c r="AA143" s="152">
        <v>40725</v>
      </c>
      <c r="AB143" s="184">
        <v>13825482964</v>
      </c>
      <c r="AC143" s="185"/>
      <c r="AD143" s="186" t="s">
        <v>1971</v>
      </c>
      <c r="AE143" s="149" t="s">
        <v>1972</v>
      </c>
      <c r="AF143" s="153" t="s">
        <v>1973</v>
      </c>
      <c r="AG143" s="149" t="s">
        <v>1974</v>
      </c>
      <c r="AH143" s="153">
        <v>13823564095</v>
      </c>
      <c r="AI143" s="149" t="s">
        <v>1060</v>
      </c>
      <c r="AJ143" s="149"/>
      <c r="AK143" s="149"/>
      <c r="AL143" s="140">
        <f>L143</f>
        <v>42394</v>
      </c>
      <c r="AM143" s="142">
        <f>EDATE(AL143,36)-1</f>
        <v>43489</v>
      </c>
      <c r="AN143" s="148">
        <f ca="1">ROUND(AM143-NOW(),0)</f>
        <v>-2563</v>
      </c>
      <c r="AO143" s="149"/>
      <c r="AP143" s="139"/>
      <c r="AQ143" s="137"/>
      <c r="AR143" s="85"/>
    </row>
    <row r="144" s="94" customFormat="1" ht="21.75" customHeight="1" spans="1:45">
      <c r="A144" s="122">
        <v>143</v>
      </c>
      <c r="B144" s="140">
        <v>42559</v>
      </c>
      <c r="C144" s="139" t="s">
        <v>1026</v>
      </c>
      <c r="D144" s="139"/>
      <c r="E144" s="139" t="s">
        <v>1964</v>
      </c>
      <c r="F144" s="141" t="s">
        <v>1975</v>
      </c>
      <c r="G144" s="139" t="s">
        <v>1566</v>
      </c>
      <c r="H144" s="137" t="s">
        <v>1252</v>
      </c>
      <c r="I144" s="139" t="s">
        <v>1966</v>
      </c>
      <c r="J144" s="139" t="s">
        <v>803</v>
      </c>
      <c r="K144" s="139"/>
      <c r="L144" s="140">
        <v>42473</v>
      </c>
      <c r="M144" s="139" t="str">
        <f ca="1" t="shared" si="4"/>
        <v>9年9个月</v>
      </c>
      <c r="N144" s="181" t="s">
        <v>1976</v>
      </c>
      <c r="O144" s="139" t="s">
        <v>794</v>
      </c>
      <c r="P144" s="142">
        <v>31162</v>
      </c>
      <c r="Q144" s="139">
        <v>30</v>
      </c>
      <c r="R144" s="151" t="s">
        <v>784</v>
      </c>
      <c r="S144" s="139" t="s">
        <v>879</v>
      </c>
      <c r="T144" s="139" t="s">
        <v>1002</v>
      </c>
      <c r="U144" s="139" t="s">
        <v>21</v>
      </c>
      <c r="V144" s="139" t="s">
        <v>1977</v>
      </c>
      <c r="W144" s="139" t="s">
        <v>1005</v>
      </c>
      <c r="X144" s="139" t="s">
        <v>1006</v>
      </c>
      <c r="Y144" s="139" t="s">
        <v>1978</v>
      </c>
      <c r="Z144" s="139" t="s">
        <v>1258</v>
      </c>
      <c r="AA144" s="152">
        <v>39264</v>
      </c>
      <c r="AB144" s="184">
        <v>13910664790</v>
      </c>
      <c r="AC144" s="185"/>
      <c r="AD144" s="186" t="s">
        <v>1979</v>
      </c>
      <c r="AE144" s="149" t="s">
        <v>1980</v>
      </c>
      <c r="AF144" s="153" t="s">
        <v>1981</v>
      </c>
      <c r="AG144" s="149" t="s">
        <v>1046</v>
      </c>
      <c r="AH144" s="153">
        <v>13691297379</v>
      </c>
      <c r="AI144" s="149" t="s">
        <v>1087</v>
      </c>
      <c r="AJ144" s="149"/>
      <c r="AK144" s="149"/>
      <c r="AL144" s="140">
        <f>L144</f>
        <v>42473</v>
      </c>
      <c r="AM144" s="142">
        <f>EDATE(AL144,36)-1</f>
        <v>43567</v>
      </c>
      <c r="AN144" s="148">
        <f ca="1">ROUND(AM144-NOW(),0)</f>
        <v>-2485</v>
      </c>
      <c r="AO144" s="149"/>
      <c r="AP144" s="139"/>
      <c r="AQ144" s="137"/>
      <c r="AR144" s="85"/>
    </row>
    <row r="145" s="93" customFormat="1" ht="21.75" customHeight="1" spans="1:45">
      <c r="A145" s="122">
        <v>144</v>
      </c>
      <c r="B145" s="170">
        <v>42563</v>
      </c>
      <c r="C145" s="160" t="s">
        <v>1026</v>
      </c>
      <c r="D145" s="160" t="s">
        <v>1982</v>
      </c>
      <c r="E145" s="160"/>
      <c r="F145" s="161" t="s">
        <v>1983</v>
      </c>
      <c r="G145" s="125" t="s">
        <v>18</v>
      </c>
      <c r="H145" s="160" t="s">
        <v>1938</v>
      </c>
      <c r="I145" s="160" t="s">
        <v>27</v>
      </c>
      <c r="J145" s="160" t="s">
        <v>803</v>
      </c>
      <c r="K145" s="160"/>
      <c r="L145" s="170">
        <v>42264</v>
      </c>
      <c r="M145" s="160" t="str">
        <f ca="1" t="shared" si="4"/>
        <v>10年4个月</v>
      </c>
      <c r="N145" s="187" t="s">
        <v>1984</v>
      </c>
      <c r="O145" s="160" t="s">
        <v>782</v>
      </c>
      <c r="P145" s="163">
        <v>34707</v>
      </c>
      <c r="Q145" s="160">
        <f ca="1" t="shared" ref="Q145:Q154" si="5">IF(N145="","",IF(AND(LEN(N145)&lt;&gt;15,LEN(N145)&lt;&gt;18),"错误",ROUNDDOWN((NOW()-P145)/365,0)))</f>
        <v>31</v>
      </c>
      <c r="R145" s="165" t="s">
        <v>1001</v>
      </c>
      <c r="S145" s="160" t="s">
        <v>785</v>
      </c>
      <c r="T145" s="160" t="s">
        <v>1002</v>
      </c>
      <c r="U145" s="160" t="s">
        <v>1985</v>
      </c>
      <c r="V145" s="160" t="s">
        <v>1986</v>
      </c>
      <c r="W145" s="160" t="s">
        <v>1005</v>
      </c>
      <c r="X145" s="160" t="s">
        <v>1006</v>
      </c>
      <c r="Y145" s="160" t="s">
        <v>1031</v>
      </c>
      <c r="Z145" s="160" t="s">
        <v>1987</v>
      </c>
      <c r="AA145" s="166">
        <v>42583</v>
      </c>
      <c r="AB145" s="171">
        <v>18811367354</v>
      </c>
      <c r="AC145" s="188"/>
      <c r="AD145" s="172" t="s">
        <v>1988</v>
      </c>
      <c r="AE145" s="167" t="s">
        <v>1986</v>
      </c>
      <c r="AF145" s="168" t="s">
        <v>1989</v>
      </c>
      <c r="AG145" s="167" t="s">
        <v>1137</v>
      </c>
      <c r="AH145" s="168">
        <v>13858525319</v>
      </c>
      <c r="AI145" s="167" t="s">
        <v>1035</v>
      </c>
      <c r="AJ145" s="167" t="s">
        <v>57</v>
      </c>
      <c r="AK145" s="167"/>
      <c r="AL145" s="163"/>
      <c r="AM145" s="163"/>
      <c r="AN145" s="174"/>
      <c r="AO145" s="167"/>
      <c r="AP145" s="160"/>
      <c r="AQ145" s="158"/>
      <c r="AR145" s="86"/>
    </row>
    <row r="146" s="87" customFormat="1" customHeight="1" spans="1:45">
      <c r="A146" s="122">
        <v>145</v>
      </c>
      <c r="B146" s="126">
        <v>42566</v>
      </c>
      <c r="C146" s="125" t="s">
        <v>1026</v>
      </c>
      <c r="D146" s="125"/>
      <c r="E146" s="132" t="s">
        <v>997</v>
      </c>
      <c r="F146" s="127" t="s">
        <v>1990</v>
      </c>
      <c r="G146" s="125" t="s">
        <v>18</v>
      </c>
      <c r="H146" s="123" t="s">
        <v>1062</v>
      </c>
      <c r="I146" s="125" t="s">
        <v>27</v>
      </c>
      <c r="J146" s="125" t="s">
        <v>803</v>
      </c>
      <c r="K146" s="125"/>
      <c r="L146" s="126">
        <v>42285</v>
      </c>
      <c r="M146" s="125" t="str">
        <f ca="1" t="shared" si="4"/>
        <v>10年3个月</v>
      </c>
      <c r="N146" s="183" t="s">
        <v>1991</v>
      </c>
      <c r="O146" s="125" t="s">
        <v>782</v>
      </c>
      <c r="P146" s="128">
        <v>34099</v>
      </c>
      <c r="Q146" s="125">
        <f ca="1" t="shared" si="5"/>
        <v>32</v>
      </c>
      <c r="R146" s="155" t="s">
        <v>1001</v>
      </c>
      <c r="S146" s="125" t="s">
        <v>785</v>
      </c>
      <c r="T146" s="125" t="s">
        <v>1002</v>
      </c>
      <c r="U146" s="125" t="s">
        <v>1238</v>
      </c>
      <c r="V146" s="125" t="s">
        <v>1992</v>
      </c>
      <c r="W146" s="125" t="s">
        <v>1005</v>
      </c>
      <c r="X146" s="125" t="s">
        <v>1006</v>
      </c>
      <c r="Y146" s="125" t="s">
        <v>1031</v>
      </c>
      <c r="Z146" s="125" t="s">
        <v>1266</v>
      </c>
      <c r="AA146" s="156">
        <v>42552</v>
      </c>
      <c r="AB146" s="176">
        <v>18811370053</v>
      </c>
      <c r="AC146" s="177"/>
      <c r="AD146" s="178" t="s">
        <v>1993</v>
      </c>
      <c r="AE146" s="136" t="s">
        <v>1994</v>
      </c>
      <c r="AF146" s="157" t="s">
        <v>1995</v>
      </c>
      <c r="AG146" s="136" t="s">
        <v>1936</v>
      </c>
      <c r="AH146" s="157">
        <v>13567556465</v>
      </c>
      <c r="AI146" s="136" t="s">
        <v>1035</v>
      </c>
      <c r="AJ146" s="136" t="s">
        <v>1439</v>
      </c>
      <c r="AK146" s="136"/>
      <c r="AL146" s="126"/>
      <c r="AM146" s="128"/>
      <c r="AN146" s="135"/>
      <c r="AO146" s="136"/>
      <c r="AP146" s="125"/>
      <c r="AQ146" s="123"/>
    </row>
    <row r="147" s="85" customFormat="1" customHeight="1" spans="1:45">
      <c r="A147" s="122">
        <v>146</v>
      </c>
      <c r="B147" s="140">
        <v>42569</v>
      </c>
      <c r="C147" s="139" t="s">
        <v>1026</v>
      </c>
      <c r="D147" s="139"/>
      <c r="E147" s="139" t="s">
        <v>1127</v>
      </c>
      <c r="F147" s="141" t="s">
        <v>1996</v>
      </c>
      <c r="G147" s="139" t="s">
        <v>1530</v>
      </c>
      <c r="H147" s="137" t="s">
        <v>1946</v>
      </c>
      <c r="I147" s="139" t="s">
        <v>882</v>
      </c>
      <c r="J147" s="139" t="s">
        <v>779</v>
      </c>
      <c r="K147" s="139"/>
      <c r="L147" s="140">
        <v>42064</v>
      </c>
      <c r="M147" s="139" t="str">
        <f ca="1" t="shared" si="4"/>
        <v>10年10个月</v>
      </c>
      <c r="N147" s="181" t="s">
        <v>1997</v>
      </c>
      <c r="O147" s="139" t="str">
        <f>IF(N147="","",IF(AND(LEN(N147)&lt;&gt;15,LEN(N147)&lt;&gt;18),"错误",IF(MOD(IF(LEN(N147)=15,MID(N147,15,1),MID(N147,17,1)),2)=1,"男","女")))</f>
        <v>男</v>
      </c>
      <c r="P147" s="142">
        <f>IF(N147="","",IF(AND(LEN(N147)&lt;&gt;15,LEN(N147)&lt;&gt;18),"错误",IF(LEN(N147)=15,DATE(MID(N147,7,2),MID(N147,9,2),MID(N147,11,2)),DATE(MID(N147,7,4),MID(N147,11,2),MID(N147,13,2)))))</f>
        <v>31766</v>
      </c>
      <c r="Q147" s="139">
        <f ca="1" t="shared" si="5"/>
        <v>39</v>
      </c>
      <c r="R147" s="151" t="s">
        <v>1001</v>
      </c>
      <c r="S147" s="139" t="s">
        <v>785</v>
      </c>
      <c r="T147" s="139" t="s">
        <v>1002</v>
      </c>
      <c r="U147" s="139" t="s">
        <v>1707</v>
      </c>
      <c r="V147" s="139" t="s">
        <v>1998</v>
      </c>
      <c r="W147" s="139" t="s">
        <v>786</v>
      </c>
      <c r="X147" s="139" t="s">
        <v>974</v>
      </c>
      <c r="Y147" s="139" t="s">
        <v>1174</v>
      </c>
      <c r="Z147" s="139" t="s">
        <v>824</v>
      </c>
      <c r="AA147" s="152">
        <v>40575</v>
      </c>
      <c r="AB147" s="143">
        <v>13810195684</v>
      </c>
      <c r="AC147" s="153"/>
      <c r="AD147" s="149" t="s">
        <v>1999</v>
      </c>
      <c r="AE147" s="149" t="s">
        <v>2000</v>
      </c>
      <c r="AF147" s="153" t="s">
        <v>2001</v>
      </c>
      <c r="AG147" s="149" t="s">
        <v>1167</v>
      </c>
      <c r="AH147" s="153">
        <v>18601355688</v>
      </c>
      <c r="AI147" s="149" t="s">
        <v>1080</v>
      </c>
      <c r="AJ147" s="149"/>
      <c r="AK147" s="149"/>
      <c r="AL147" s="142">
        <v>42064</v>
      </c>
      <c r="AM147" s="142">
        <v>42794</v>
      </c>
      <c r="AN147" s="148">
        <f ca="1">ROUND(AM147-NOW(),0)</f>
        <v>-3258</v>
      </c>
      <c r="AO147" s="146" t="s">
        <v>123</v>
      </c>
      <c r="AP147" s="137"/>
      <c r="AQ147" s="137"/>
    </row>
    <row r="148" s="87" customFormat="1" customHeight="1" spans="1:45">
      <c r="A148" s="122">
        <v>147</v>
      </c>
      <c r="B148" s="126">
        <v>42573</v>
      </c>
      <c r="C148" s="125" t="s">
        <v>1026</v>
      </c>
      <c r="D148" s="125"/>
      <c r="E148" s="132" t="s">
        <v>997</v>
      </c>
      <c r="F148" s="127" t="s">
        <v>2002</v>
      </c>
      <c r="G148" s="125" t="s">
        <v>18</v>
      </c>
      <c r="H148" s="123" t="s">
        <v>1938</v>
      </c>
      <c r="I148" s="125" t="s">
        <v>27</v>
      </c>
      <c r="J148" s="125" t="s">
        <v>803</v>
      </c>
      <c r="K148" s="125"/>
      <c r="L148" s="126">
        <v>42374</v>
      </c>
      <c r="M148" s="125" t="str">
        <f ca="1" t="shared" si="4"/>
        <v>10年0个月</v>
      </c>
      <c r="N148" s="183" t="s">
        <v>2003</v>
      </c>
      <c r="O148" s="125" t="s">
        <v>782</v>
      </c>
      <c r="P148" s="128">
        <v>34430</v>
      </c>
      <c r="Q148" s="125">
        <f ca="1" t="shared" si="5"/>
        <v>31</v>
      </c>
      <c r="R148" s="155" t="s">
        <v>1001</v>
      </c>
      <c r="S148" s="125" t="s">
        <v>785</v>
      </c>
      <c r="T148" s="125" t="s">
        <v>1002</v>
      </c>
      <c r="U148" s="125" t="s">
        <v>21</v>
      </c>
      <c r="V148" s="125" t="s">
        <v>2004</v>
      </c>
      <c r="W148" s="125" t="s">
        <v>1005</v>
      </c>
      <c r="X148" s="125" t="s">
        <v>1006</v>
      </c>
      <c r="Y148" s="125" t="s">
        <v>1031</v>
      </c>
      <c r="Z148" s="125" t="s">
        <v>2005</v>
      </c>
      <c r="AA148" s="156">
        <v>42552</v>
      </c>
      <c r="AB148" s="176">
        <v>13366212910</v>
      </c>
      <c r="AC148" s="177"/>
      <c r="AD148" s="178" t="s">
        <v>2006</v>
      </c>
      <c r="AE148" s="136" t="s">
        <v>2007</v>
      </c>
      <c r="AF148" s="157" t="s">
        <v>2008</v>
      </c>
      <c r="AG148" s="136" t="s">
        <v>2009</v>
      </c>
      <c r="AH148" s="157">
        <v>13601391351</v>
      </c>
      <c r="AI148" s="136" t="s">
        <v>1035</v>
      </c>
      <c r="AJ148" s="136" t="s">
        <v>1983</v>
      </c>
      <c r="AK148" s="136"/>
      <c r="AL148" s="126"/>
      <c r="AM148" s="128"/>
      <c r="AN148" s="135"/>
      <c r="AO148" s="136"/>
      <c r="AP148" s="125"/>
      <c r="AQ148" s="123"/>
    </row>
    <row r="149" s="85" customFormat="1" customHeight="1" spans="1:45">
      <c r="A149" s="122">
        <v>148</v>
      </c>
      <c r="B149" s="140">
        <v>42576</v>
      </c>
      <c r="C149" s="139" t="s">
        <v>1026</v>
      </c>
      <c r="D149" s="139"/>
      <c r="E149" s="139" t="s">
        <v>1127</v>
      </c>
      <c r="F149" s="141" t="s">
        <v>2010</v>
      </c>
      <c r="G149" s="137" t="s">
        <v>1772</v>
      </c>
      <c r="H149" s="137" t="s">
        <v>1773</v>
      </c>
      <c r="I149" s="139" t="s">
        <v>2011</v>
      </c>
      <c r="J149" s="139" t="s">
        <v>779</v>
      </c>
      <c r="K149" s="139"/>
      <c r="L149" s="140">
        <v>42269</v>
      </c>
      <c r="M149" s="139" t="str">
        <f ca="1" t="shared" si="4"/>
        <v>10年4个月</v>
      </c>
      <c r="N149" s="181" t="s">
        <v>2012</v>
      </c>
      <c r="O149" s="139" t="s">
        <v>794</v>
      </c>
      <c r="P149" s="142">
        <v>31946</v>
      </c>
      <c r="Q149" s="139">
        <f ca="1" t="shared" si="5"/>
        <v>38</v>
      </c>
      <c r="R149" s="151" t="s">
        <v>1001</v>
      </c>
      <c r="S149" s="139" t="s">
        <v>785</v>
      </c>
      <c r="T149" s="139" t="s">
        <v>1002</v>
      </c>
      <c r="U149" s="139" t="s">
        <v>2013</v>
      </c>
      <c r="V149" s="139" t="s">
        <v>2013</v>
      </c>
      <c r="W149" s="139" t="s">
        <v>1005</v>
      </c>
      <c r="X149" s="139" t="s">
        <v>974</v>
      </c>
      <c r="Y149" s="139" t="s">
        <v>2014</v>
      </c>
      <c r="Z149" s="139" t="s">
        <v>1493</v>
      </c>
      <c r="AA149" s="152">
        <v>40909</v>
      </c>
      <c r="AB149" s="184">
        <v>18701426947</v>
      </c>
      <c r="AC149" s="185"/>
      <c r="AD149" s="186" t="s">
        <v>2015</v>
      </c>
      <c r="AE149" s="149" t="s">
        <v>2016</v>
      </c>
      <c r="AF149" s="153" t="s">
        <v>2017</v>
      </c>
      <c r="AG149" s="149" t="s">
        <v>1672</v>
      </c>
      <c r="AH149" s="153">
        <v>13331130186</v>
      </c>
      <c r="AI149" s="149" t="s">
        <v>1035</v>
      </c>
      <c r="AJ149" s="149" t="s">
        <v>204</v>
      </c>
      <c r="AK149" s="149"/>
      <c r="AL149" s="140">
        <f>L149</f>
        <v>42269</v>
      </c>
      <c r="AM149" s="142">
        <f>EDATE(AL149,36)-1</f>
        <v>43364</v>
      </c>
      <c r="AN149" s="148">
        <f ca="1">ROUND(AM149-NOW(),0)</f>
        <v>-2688</v>
      </c>
      <c r="AO149" s="146" t="s">
        <v>123</v>
      </c>
      <c r="AP149" s="137"/>
      <c r="AQ149" s="137"/>
    </row>
    <row r="150" s="87" customFormat="1" customHeight="1" spans="1:45">
      <c r="A150" s="122">
        <v>149</v>
      </c>
      <c r="B150" s="126">
        <v>42576</v>
      </c>
      <c r="C150" s="125" t="s">
        <v>1026</v>
      </c>
      <c r="D150" s="125" t="s">
        <v>2018</v>
      </c>
      <c r="E150" s="132" t="s">
        <v>997</v>
      </c>
      <c r="F150" s="127" t="s">
        <v>2019</v>
      </c>
      <c r="G150" s="125" t="s">
        <v>18</v>
      </c>
      <c r="H150" s="123" t="s">
        <v>1938</v>
      </c>
      <c r="I150" s="125" t="s">
        <v>27</v>
      </c>
      <c r="J150" s="125" t="s">
        <v>803</v>
      </c>
      <c r="K150" s="125"/>
      <c r="L150" s="126">
        <v>42425</v>
      </c>
      <c r="M150" s="125" t="str">
        <f ca="1" t="shared" si="4"/>
        <v>9年11个月</v>
      </c>
      <c r="N150" s="183" t="s">
        <v>2020</v>
      </c>
      <c r="O150" s="125" t="s">
        <v>782</v>
      </c>
      <c r="P150" s="128">
        <v>34249</v>
      </c>
      <c r="Q150" s="125">
        <f ca="1" t="shared" si="5"/>
        <v>32</v>
      </c>
      <c r="R150" s="155" t="s">
        <v>1001</v>
      </c>
      <c r="S150" s="125" t="s">
        <v>785</v>
      </c>
      <c r="T150" s="125" t="s">
        <v>1002</v>
      </c>
      <c r="U150" s="125" t="s">
        <v>2021</v>
      </c>
      <c r="V150" s="125" t="s">
        <v>2022</v>
      </c>
      <c r="W150" s="125" t="s">
        <v>1005</v>
      </c>
      <c r="X150" s="125" t="s">
        <v>1006</v>
      </c>
      <c r="Y150" s="125" t="s">
        <v>1031</v>
      </c>
      <c r="Z150" s="125" t="s">
        <v>2023</v>
      </c>
      <c r="AA150" s="156">
        <v>42552</v>
      </c>
      <c r="AB150" s="176">
        <v>15652799536</v>
      </c>
      <c r="AC150" s="177"/>
      <c r="AD150" s="178" t="s">
        <v>2024</v>
      </c>
      <c r="AE150" s="136" t="s">
        <v>2025</v>
      </c>
      <c r="AF150" s="157" t="s">
        <v>2026</v>
      </c>
      <c r="AG150" s="136" t="s">
        <v>1046</v>
      </c>
      <c r="AH150" s="157">
        <v>13913036826</v>
      </c>
      <c r="AI150" s="136" t="s">
        <v>1035</v>
      </c>
      <c r="AJ150" s="136" t="s">
        <v>1937</v>
      </c>
      <c r="AK150" s="136"/>
      <c r="AL150" s="126"/>
      <c r="AM150" s="128"/>
      <c r="AN150" s="135"/>
      <c r="AO150" s="136"/>
      <c r="AP150" s="125"/>
      <c r="AQ150" s="123"/>
    </row>
    <row r="151" s="87" customFormat="1" customHeight="1" spans="1:45">
      <c r="A151" s="122">
        <v>150</v>
      </c>
      <c r="B151" s="126">
        <v>42578</v>
      </c>
      <c r="C151" s="125" t="s">
        <v>1026</v>
      </c>
      <c r="D151" s="125" t="s">
        <v>2027</v>
      </c>
      <c r="E151" s="132" t="s">
        <v>997</v>
      </c>
      <c r="F151" s="127" t="s">
        <v>2028</v>
      </c>
      <c r="G151" s="125" t="s">
        <v>18</v>
      </c>
      <c r="H151" s="123" t="s">
        <v>1882</v>
      </c>
      <c r="I151" s="125" t="s">
        <v>27</v>
      </c>
      <c r="J151" s="125" t="s">
        <v>803</v>
      </c>
      <c r="K151" s="125"/>
      <c r="L151" s="126">
        <v>42467</v>
      </c>
      <c r="M151" s="125" t="str">
        <f ca="1" t="shared" si="4"/>
        <v>9年9个月</v>
      </c>
      <c r="N151" s="183" t="s">
        <v>2029</v>
      </c>
      <c r="O151" s="125" t="s">
        <v>794</v>
      </c>
      <c r="P151" s="128">
        <v>34669</v>
      </c>
      <c r="Q151" s="125">
        <f ca="1" t="shared" si="5"/>
        <v>31</v>
      </c>
      <c r="R151" s="155" t="s">
        <v>784</v>
      </c>
      <c r="S151" s="125" t="s">
        <v>785</v>
      </c>
      <c r="T151" s="125" t="s">
        <v>2030</v>
      </c>
      <c r="U151" s="125" t="s">
        <v>1199</v>
      </c>
      <c r="V151" s="125" t="s">
        <v>1992</v>
      </c>
      <c r="W151" s="125" t="s">
        <v>1133</v>
      </c>
      <c r="X151" s="125" t="s">
        <v>789</v>
      </c>
      <c r="Y151" s="125" t="s">
        <v>1031</v>
      </c>
      <c r="Z151" s="125" t="s">
        <v>2031</v>
      </c>
      <c r="AA151" s="156">
        <v>42552</v>
      </c>
      <c r="AB151" s="177">
        <v>18001141396</v>
      </c>
      <c r="AC151" s="177"/>
      <c r="AD151" s="178" t="s">
        <v>2032</v>
      </c>
      <c r="AE151" s="136" t="s">
        <v>2033</v>
      </c>
      <c r="AF151" s="157" t="s">
        <v>2034</v>
      </c>
      <c r="AG151" s="136" t="s">
        <v>1046</v>
      </c>
      <c r="AH151" s="157">
        <v>13399286143</v>
      </c>
      <c r="AI151" s="136" t="s">
        <v>775</v>
      </c>
      <c r="AJ151" s="136" t="s">
        <v>2035</v>
      </c>
      <c r="AK151" s="136"/>
      <c r="AL151" s="126"/>
      <c r="AM151" s="128"/>
      <c r="AN151" s="135"/>
      <c r="AO151" s="173"/>
      <c r="AP151" s="125"/>
      <c r="AQ151" s="123"/>
    </row>
    <row r="152" s="87" customFormat="1" customHeight="1" spans="1:45">
      <c r="A152" s="122">
        <v>151</v>
      </c>
      <c r="B152" s="126">
        <v>42578</v>
      </c>
      <c r="C152" s="125" t="s">
        <v>1026</v>
      </c>
      <c r="D152" s="125" t="s">
        <v>2036</v>
      </c>
      <c r="E152" s="132" t="s">
        <v>997</v>
      </c>
      <c r="F152" s="127" t="s">
        <v>2037</v>
      </c>
      <c r="G152" s="125" t="s">
        <v>18</v>
      </c>
      <c r="H152" s="123" t="s">
        <v>1938</v>
      </c>
      <c r="I152" s="125" t="s">
        <v>27</v>
      </c>
      <c r="J152" s="125" t="s">
        <v>803</v>
      </c>
      <c r="K152" s="125"/>
      <c r="L152" s="126">
        <v>42473</v>
      </c>
      <c r="M152" s="125" t="str">
        <f ca="1" t="shared" si="4"/>
        <v>9年9个月</v>
      </c>
      <c r="N152" s="183" t="s">
        <v>2038</v>
      </c>
      <c r="O152" s="125" t="s">
        <v>782</v>
      </c>
      <c r="P152" s="128">
        <v>34680</v>
      </c>
      <c r="Q152" s="125">
        <f ca="1" t="shared" si="5"/>
        <v>31</v>
      </c>
      <c r="R152" s="155" t="s">
        <v>1001</v>
      </c>
      <c r="S152" s="125" t="s">
        <v>785</v>
      </c>
      <c r="T152" s="125" t="s">
        <v>1002</v>
      </c>
      <c r="U152" s="125" t="s">
        <v>2039</v>
      </c>
      <c r="V152" s="125" t="s">
        <v>1992</v>
      </c>
      <c r="W152" s="125" t="s">
        <v>1005</v>
      </c>
      <c r="X152" s="125" t="s">
        <v>1006</v>
      </c>
      <c r="Y152" s="125" t="s">
        <v>1031</v>
      </c>
      <c r="Z152" s="125" t="s">
        <v>824</v>
      </c>
      <c r="AA152" s="156">
        <v>42552</v>
      </c>
      <c r="AB152" s="176">
        <v>18001585905</v>
      </c>
      <c r="AC152" s="176"/>
      <c r="AD152" s="178" t="s">
        <v>2040</v>
      </c>
      <c r="AE152" s="136" t="s">
        <v>2041</v>
      </c>
      <c r="AF152" s="157" t="s">
        <v>2042</v>
      </c>
      <c r="AG152" s="136" t="s">
        <v>1097</v>
      </c>
      <c r="AH152" s="157">
        <v>13946186086</v>
      </c>
      <c r="AI152" s="136" t="s">
        <v>1035</v>
      </c>
      <c r="AJ152" s="136" t="s">
        <v>110</v>
      </c>
      <c r="AK152" s="136"/>
      <c r="AL152" s="126"/>
      <c r="AM152" s="128"/>
      <c r="AN152" s="135"/>
      <c r="AO152" s="136"/>
      <c r="AP152" s="125"/>
      <c r="AQ152" s="123"/>
    </row>
    <row r="153" s="87" customFormat="1" customHeight="1" spans="1:45">
      <c r="A153" s="122">
        <v>152</v>
      </c>
      <c r="B153" s="126">
        <v>42583</v>
      </c>
      <c r="C153" s="125" t="s">
        <v>1026</v>
      </c>
      <c r="D153" s="132" t="s">
        <v>2043</v>
      </c>
      <c r="E153" s="132"/>
      <c r="F153" s="127" t="s">
        <v>2044</v>
      </c>
      <c r="G153" s="123" t="s">
        <v>18</v>
      </c>
      <c r="H153" s="123" t="s">
        <v>18</v>
      </c>
      <c r="I153" s="125" t="s">
        <v>27</v>
      </c>
      <c r="J153" s="125" t="s">
        <v>803</v>
      </c>
      <c r="K153" s="125" t="s">
        <v>21</v>
      </c>
      <c r="L153" s="126">
        <v>42481</v>
      </c>
      <c r="M153" s="126" t="str">
        <f ca="1" t="shared" si="4"/>
        <v>9年9个月</v>
      </c>
      <c r="N153" s="183" t="s">
        <v>2045</v>
      </c>
      <c r="O153" s="125" t="s">
        <v>782</v>
      </c>
      <c r="P153" s="128">
        <v>35398</v>
      </c>
      <c r="Q153" s="125">
        <f ca="1" t="shared" si="5"/>
        <v>29</v>
      </c>
      <c r="R153" s="155" t="s">
        <v>1001</v>
      </c>
      <c r="S153" s="125" t="s">
        <v>785</v>
      </c>
      <c r="T153" s="125" t="s">
        <v>1002</v>
      </c>
      <c r="U153" s="125" t="s">
        <v>1297</v>
      </c>
      <c r="V153" s="125" t="s">
        <v>2046</v>
      </c>
      <c r="W153" s="125" t="s">
        <v>1005</v>
      </c>
      <c r="X153" s="125" t="s">
        <v>1006</v>
      </c>
      <c r="Y153" s="125" t="s">
        <v>1031</v>
      </c>
      <c r="Z153" s="125" t="s">
        <v>824</v>
      </c>
      <c r="AA153" s="156">
        <v>43586</v>
      </c>
      <c r="AB153" s="176">
        <v>15150532599</v>
      </c>
      <c r="AC153" s="127" t="s">
        <v>2047</v>
      </c>
      <c r="AD153" s="178" t="s">
        <v>2048</v>
      </c>
      <c r="AE153" s="136" t="s">
        <v>2049</v>
      </c>
      <c r="AF153" s="157" t="s">
        <v>2050</v>
      </c>
      <c r="AG153" s="136" t="s">
        <v>1011</v>
      </c>
      <c r="AH153" s="157">
        <v>13851620979</v>
      </c>
      <c r="AI153" s="136" t="s">
        <v>1035</v>
      </c>
      <c r="AJ153" s="136" t="s">
        <v>2051</v>
      </c>
      <c r="AK153" s="136"/>
      <c r="AL153" s="126"/>
      <c r="AM153" s="128"/>
      <c r="AN153" s="135"/>
      <c r="AO153" s="136"/>
      <c r="AP153" s="125"/>
      <c r="AQ153" s="123"/>
    </row>
    <row r="154" s="87" customFormat="1" customHeight="1" spans="1:45">
      <c r="A154" s="122">
        <v>153</v>
      </c>
      <c r="B154" s="126">
        <v>42586</v>
      </c>
      <c r="C154" s="125" t="s">
        <v>1026</v>
      </c>
      <c r="D154" s="123" t="s">
        <v>2052</v>
      </c>
      <c r="E154" s="132" t="s">
        <v>997</v>
      </c>
      <c r="F154" s="127" t="s">
        <v>2053</v>
      </c>
      <c r="G154" s="127" t="s">
        <v>1530</v>
      </c>
      <c r="H154" s="123" t="s">
        <v>2054</v>
      </c>
      <c r="I154" s="125" t="s">
        <v>27</v>
      </c>
      <c r="J154" s="125" t="s">
        <v>803</v>
      </c>
      <c r="K154" s="125" t="s">
        <v>21</v>
      </c>
      <c r="L154" s="126">
        <v>42191</v>
      </c>
      <c r="M154" s="126" t="str">
        <f ca="1" t="shared" si="4"/>
        <v>10年6个月</v>
      </c>
      <c r="N154" s="183" t="s">
        <v>2055</v>
      </c>
      <c r="O154" s="125" t="s">
        <v>782</v>
      </c>
      <c r="P154" s="128">
        <v>34541</v>
      </c>
      <c r="Q154" s="125">
        <f ca="1" t="shared" si="5"/>
        <v>31</v>
      </c>
      <c r="R154" s="155" t="s">
        <v>1001</v>
      </c>
      <c r="S154" s="125" t="s">
        <v>785</v>
      </c>
      <c r="T154" s="125" t="s">
        <v>1002</v>
      </c>
      <c r="U154" s="125" t="s">
        <v>21</v>
      </c>
      <c r="V154" s="125" t="s">
        <v>2056</v>
      </c>
      <c r="W154" s="125" t="s">
        <v>1005</v>
      </c>
      <c r="X154" s="125" t="s">
        <v>1006</v>
      </c>
      <c r="Y154" s="125" t="s">
        <v>2057</v>
      </c>
      <c r="Z154" s="125" t="s">
        <v>807</v>
      </c>
      <c r="AA154" s="156">
        <v>42522</v>
      </c>
      <c r="AB154" s="176">
        <v>15652918964</v>
      </c>
      <c r="AC154" s="176"/>
      <c r="AD154" s="178" t="s">
        <v>2058</v>
      </c>
      <c r="AE154" s="136" t="s">
        <v>2059</v>
      </c>
      <c r="AF154" s="157" t="s">
        <v>1740</v>
      </c>
      <c r="AG154" s="136" t="s">
        <v>1011</v>
      </c>
      <c r="AH154" s="157">
        <v>13716626197</v>
      </c>
      <c r="AI154" s="136" t="s">
        <v>1035</v>
      </c>
      <c r="AJ154" s="136" t="s">
        <v>51</v>
      </c>
      <c r="AK154" s="136"/>
      <c r="AL154" s="126"/>
      <c r="AM154" s="128"/>
      <c r="AN154" s="135"/>
      <c r="AO154" s="136"/>
      <c r="AP154" s="125" t="s">
        <v>2060</v>
      </c>
      <c r="AQ154" s="123"/>
      <c r="AR154" s="85"/>
      <c r="AS154" s="85"/>
    </row>
    <row r="155" s="85" customFormat="1" customHeight="1" spans="1:45">
      <c r="A155" s="122">
        <v>154</v>
      </c>
      <c r="B155" s="140">
        <v>42587</v>
      </c>
      <c r="C155" s="139" t="s">
        <v>1026</v>
      </c>
      <c r="D155" s="137"/>
      <c r="E155" s="137" t="s">
        <v>1127</v>
      </c>
      <c r="F155" s="141" t="s">
        <v>2061</v>
      </c>
      <c r="G155" s="141" t="s">
        <v>1530</v>
      </c>
      <c r="H155" s="137" t="s">
        <v>1386</v>
      </c>
      <c r="I155" s="139" t="s">
        <v>2062</v>
      </c>
      <c r="J155" s="139" t="s">
        <v>1227</v>
      </c>
      <c r="K155" s="139" t="s">
        <v>227</v>
      </c>
      <c r="L155" s="140">
        <v>42436</v>
      </c>
      <c r="M155" s="139" t="str">
        <f ca="1" t="shared" si="4"/>
        <v>9年10个月</v>
      </c>
      <c r="N155" s="181" t="s">
        <v>2063</v>
      </c>
      <c r="O155" s="139" t="s">
        <v>794</v>
      </c>
      <c r="P155" s="142" t="s">
        <v>2064</v>
      </c>
      <c r="Q155" s="139">
        <v>27</v>
      </c>
      <c r="R155" s="151" t="s">
        <v>1001</v>
      </c>
      <c r="S155" s="139" t="s">
        <v>785</v>
      </c>
      <c r="T155" s="139" t="s">
        <v>1002</v>
      </c>
      <c r="U155" s="139" t="s">
        <v>2065</v>
      </c>
      <c r="V155" s="139" t="s">
        <v>2066</v>
      </c>
      <c r="W155" s="139" t="s">
        <v>2067</v>
      </c>
      <c r="X155" s="139" t="s">
        <v>789</v>
      </c>
      <c r="Y155" s="139" t="s">
        <v>2068</v>
      </c>
      <c r="Z155" s="139" t="s">
        <v>2069</v>
      </c>
      <c r="AA155" s="152">
        <v>40695</v>
      </c>
      <c r="AB155" s="184">
        <v>13656645309</v>
      </c>
      <c r="AC155" s="141" t="s">
        <v>2070</v>
      </c>
      <c r="AD155" s="186" t="s">
        <v>2071</v>
      </c>
      <c r="AE155" s="149" t="s">
        <v>2072</v>
      </c>
      <c r="AF155" s="153" t="s">
        <v>2073</v>
      </c>
      <c r="AG155" s="149" t="s">
        <v>1974</v>
      </c>
      <c r="AH155" s="153">
        <v>15168458116</v>
      </c>
      <c r="AI155" s="149" t="s">
        <v>2074</v>
      </c>
      <c r="AJ155" s="149"/>
      <c r="AK155" s="149"/>
      <c r="AL155" s="140">
        <v>42436</v>
      </c>
      <c r="AM155" s="142">
        <v>43165</v>
      </c>
      <c r="AN155" s="148"/>
      <c r="AO155" s="149"/>
      <c r="AP155" s="139"/>
      <c r="AQ155" s="137"/>
      <c r="AR155" s="87"/>
      <c r="AS155" s="87"/>
    </row>
    <row r="156" s="85" customFormat="1" customHeight="1" spans="1:45">
      <c r="A156" s="122">
        <v>155</v>
      </c>
      <c r="B156" s="126">
        <v>42587</v>
      </c>
      <c r="C156" s="125" t="s">
        <v>1026</v>
      </c>
      <c r="D156" s="123" t="s">
        <v>2075</v>
      </c>
      <c r="E156" s="132" t="s">
        <v>997</v>
      </c>
      <c r="F156" s="127" t="s">
        <v>2076</v>
      </c>
      <c r="G156" s="123" t="s">
        <v>1224</v>
      </c>
      <c r="H156" s="123" t="s">
        <v>2077</v>
      </c>
      <c r="I156" s="125" t="s">
        <v>27</v>
      </c>
      <c r="J156" s="125" t="s">
        <v>803</v>
      </c>
      <c r="K156" s="125" t="s">
        <v>21</v>
      </c>
      <c r="L156" s="126">
        <v>42439</v>
      </c>
      <c r="M156" s="126" t="str">
        <f ca="1" t="shared" si="4"/>
        <v>9年10个月</v>
      </c>
      <c r="N156" s="183" t="s">
        <v>2078</v>
      </c>
      <c r="O156" s="125" t="s">
        <v>782</v>
      </c>
      <c r="P156" s="128">
        <v>34759</v>
      </c>
      <c r="Q156" s="125">
        <f ca="1">IF(N156="","",IF(AND(LEN(N156)&lt;&gt;15,LEN(N156)&lt;&gt;18),"错误",ROUNDDOWN((NOW()-P156)/365,0)))</f>
        <v>30</v>
      </c>
      <c r="R156" s="155" t="s">
        <v>1001</v>
      </c>
      <c r="S156" s="125" t="s">
        <v>879</v>
      </c>
      <c r="T156" s="125" t="s">
        <v>1002</v>
      </c>
      <c r="U156" s="125" t="s">
        <v>2079</v>
      </c>
      <c r="V156" s="125" t="s">
        <v>2080</v>
      </c>
      <c r="W156" s="125" t="s">
        <v>1005</v>
      </c>
      <c r="X156" s="125" t="s">
        <v>1006</v>
      </c>
      <c r="Y156" s="125" t="s">
        <v>1174</v>
      </c>
      <c r="Z156" s="125" t="s">
        <v>2081</v>
      </c>
      <c r="AA156" s="156">
        <v>42552</v>
      </c>
      <c r="AB156" s="177">
        <v>18193673408</v>
      </c>
      <c r="AC156" s="176"/>
      <c r="AD156" s="178" t="s">
        <v>2082</v>
      </c>
      <c r="AE156" s="136" t="s">
        <v>2083</v>
      </c>
      <c r="AF156" s="157" t="s">
        <v>2084</v>
      </c>
      <c r="AG156" s="136" t="s">
        <v>1137</v>
      </c>
      <c r="AH156" s="157">
        <v>18993662848</v>
      </c>
      <c r="AI156" s="136" t="s">
        <v>1035</v>
      </c>
      <c r="AJ156" s="136" t="s">
        <v>319</v>
      </c>
      <c r="AK156" s="136"/>
      <c r="AL156" s="126"/>
      <c r="AM156" s="128"/>
      <c r="AN156" s="135"/>
      <c r="AO156" s="136"/>
      <c r="AP156" s="125"/>
      <c r="AQ156" s="123"/>
    </row>
    <row r="157" s="86" customFormat="1" customHeight="1" spans="1:45">
      <c r="A157" s="122">
        <v>156</v>
      </c>
      <c r="B157" s="140">
        <v>42587</v>
      </c>
      <c r="C157" s="139" t="s">
        <v>1026</v>
      </c>
      <c r="D157" s="137" t="s">
        <v>2085</v>
      </c>
      <c r="E157" s="137" t="s">
        <v>1127</v>
      </c>
      <c r="F157" s="141" t="s">
        <v>2086</v>
      </c>
      <c r="G157" s="141" t="s">
        <v>1530</v>
      </c>
      <c r="H157" s="137" t="s">
        <v>2087</v>
      </c>
      <c r="I157" s="139" t="s">
        <v>1906</v>
      </c>
      <c r="J157" s="139" t="s">
        <v>779</v>
      </c>
      <c r="K157" s="139" t="s">
        <v>137</v>
      </c>
      <c r="L157" s="140">
        <v>42499</v>
      </c>
      <c r="M157" s="139" t="str">
        <f ca="1" t="shared" si="4"/>
        <v>9年8个月</v>
      </c>
      <c r="N157" s="181" t="s">
        <v>2088</v>
      </c>
      <c r="O157" s="139" t="s">
        <v>782</v>
      </c>
      <c r="P157" s="142">
        <v>30737</v>
      </c>
      <c r="Q157" s="139">
        <f ca="1">IF(N157="","",IF(AND(LEN(N157)&lt;&gt;15,LEN(N157)&lt;&gt;18),"错误",ROUNDDOWN((NOW()-P157)/365,0)))</f>
        <v>41</v>
      </c>
      <c r="R157" s="151" t="s">
        <v>1001</v>
      </c>
      <c r="S157" s="139" t="s">
        <v>785</v>
      </c>
      <c r="T157" s="139" t="s">
        <v>1002</v>
      </c>
      <c r="U157" s="139" t="s">
        <v>1190</v>
      </c>
      <c r="V157" s="139" t="s">
        <v>2089</v>
      </c>
      <c r="W157" s="139" t="s">
        <v>1005</v>
      </c>
      <c r="X157" s="139" t="s">
        <v>974</v>
      </c>
      <c r="Y157" s="139" t="s">
        <v>2090</v>
      </c>
      <c r="Z157" s="139" t="s">
        <v>2091</v>
      </c>
      <c r="AA157" s="152">
        <v>39904</v>
      </c>
      <c r="AB157" s="184">
        <v>13456770481</v>
      </c>
      <c r="AC157" s="184"/>
      <c r="AD157" s="186" t="s">
        <v>2092</v>
      </c>
      <c r="AE157" s="149" t="s">
        <v>2093</v>
      </c>
      <c r="AF157" s="153" t="s">
        <v>2094</v>
      </c>
      <c r="AG157" s="149" t="s">
        <v>1011</v>
      </c>
      <c r="AH157" s="153">
        <v>13598614192</v>
      </c>
      <c r="AI157" s="149">
        <v>0</v>
      </c>
      <c r="AJ157" s="149">
        <v>0</v>
      </c>
      <c r="AK157" s="149"/>
      <c r="AL157" s="140">
        <f>L157</f>
        <v>42499</v>
      </c>
      <c r="AM157" s="142">
        <f>EDATE(AL157,36)-1</f>
        <v>43593</v>
      </c>
      <c r="AN157" s="148">
        <f ca="1">ROUND(AM157-NOW(),0)</f>
        <v>-2459</v>
      </c>
      <c r="AO157" s="149"/>
      <c r="AP157" s="139"/>
      <c r="AQ157" s="137"/>
    </row>
    <row r="158" s="86" customFormat="1" customHeight="1" spans="1:45">
      <c r="A158" s="122">
        <v>157</v>
      </c>
      <c r="B158" s="170">
        <v>42591</v>
      </c>
      <c r="C158" s="160" t="s">
        <v>1026</v>
      </c>
      <c r="D158" s="158" t="s">
        <v>2095</v>
      </c>
      <c r="E158" s="158"/>
      <c r="F158" s="161" t="s">
        <v>579</v>
      </c>
      <c r="G158" s="161" t="s">
        <v>18</v>
      </c>
      <c r="H158" s="160" t="s">
        <v>1409</v>
      </c>
      <c r="I158" s="160" t="s">
        <v>27</v>
      </c>
      <c r="J158" s="167" t="s">
        <v>803</v>
      </c>
      <c r="K158" s="160" t="s">
        <v>21</v>
      </c>
      <c r="L158" s="170">
        <v>42191</v>
      </c>
      <c r="M158" s="160" t="str">
        <f ca="1" t="shared" si="4"/>
        <v>10年6个月</v>
      </c>
      <c r="N158" s="187" t="s">
        <v>2096</v>
      </c>
      <c r="O158" s="160" t="s">
        <v>782</v>
      </c>
      <c r="P158" s="163">
        <v>35213</v>
      </c>
      <c r="Q158" s="160">
        <f ca="1">IF(N158="","",IF(AND(LEN(N158)&lt;&gt;15,LEN(N158)&lt;&gt;18),"错误",ROUNDDOWN((NOW()-P158)/365,0)))</f>
        <v>29</v>
      </c>
      <c r="R158" s="165" t="s">
        <v>1001</v>
      </c>
      <c r="S158" s="160" t="s">
        <v>785</v>
      </c>
      <c r="T158" s="160" t="s">
        <v>1002</v>
      </c>
      <c r="U158" s="160" t="s">
        <v>2097</v>
      </c>
      <c r="V158" s="160" t="s">
        <v>818</v>
      </c>
      <c r="W158" s="160" t="s">
        <v>1005</v>
      </c>
      <c r="X158" s="160" t="s">
        <v>1006</v>
      </c>
      <c r="Y158" s="160" t="s">
        <v>1031</v>
      </c>
      <c r="Z158" s="160" t="s">
        <v>993</v>
      </c>
      <c r="AA158" s="166">
        <v>43282</v>
      </c>
      <c r="AB158" s="171">
        <v>17098077233</v>
      </c>
      <c r="AC158" s="171"/>
      <c r="AD158" s="172" t="s">
        <v>2098</v>
      </c>
      <c r="AE158" s="167" t="s">
        <v>2099</v>
      </c>
      <c r="AF158" s="168" t="s">
        <v>2100</v>
      </c>
      <c r="AG158" s="167" t="s">
        <v>1011</v>
      </c>
      <c r="AH158" s="168">
        <v>13516823127</v>
      </c>
      <c r="AI158" s="167" t="s">
        <v>1035</v>
      </c>
      <c r="AJ158" s="167" t="s">
        <v>28</v>
      </c>
      <c r="AK158" s="167"/>
      <c r="AL158" s="163"/>
      <c r="AM158" s="163"/>
      <c r="AN158" s="174"/>
      <c r="AO158" s="167"/>
      <c r="AP158" s="160"/>
      <c r="AQ158" s="158"/>
    </row>
    <row r="159" s="85" customFormat="1" customHeight="1" spans="1:45">
      <c r="A159" s="122">
        <v>158</v>
      </c>
      <c r="B159" s="170">
        <v>42594</v>
      </c>
      <c r="C159" s="160" t="s">
        <v>1026</v>
      </c>
      <c r="D159" s="158" t="s">
        <v>2101</v>
      </c>
      <c r="E159" s="158" t="s">
        <v>1396</v>
      </c>
      <c r="F159" s="161" t="s">
        <v>2102</v>
      </c>
      <c r="G159" s="161" t="s">
        <v>18</v>
      </c>
      <c r="H159" s="160" t="s">
        <v>1431</v>
      </c>
      <c r="I159" s="160" t="s">
        <v>27</v>
      </c>
      <c r="J159" s="160" t="s">
        <v>803</v>
      </c>
      <c r="K159" s="160" t="s">
        <v>21</v>
      </c>
      <c r="L159" s="170">
        <v>42339</v>
      </c>
      <c r="M159" s="160" t="str">
        <f ca="1" t="shared" si="4"/>
        <v>10年1个月</v>
      </c>
      <c r="N159" s="187" t="s">
        <v>2103</v>
      </c>
      <c r="O159" s="160" t="s">
        <v>782</v>
      </c>
      <c r="P159" s="163">
        <v>35334</v>
      </c>
      <c r="Q159" s="160">
        <f ca="1">IF(N159="","",IF(AND(LEN(N159)&lt;&gt;15,LEN(N159)&lt;&gt;18),"错误",ROUNDDOWN((NOW()-P159)/365,0)))</f>
        <v>29</v>
      </c>
      <c r="R159" s="165" t="s">
        <v>1001</v>
      </c>
      <c r="S159" s="160" t="s">
        <v>785</v>
      </c>
      <c r="T159" s="160" t="s">
        <v>1002</v>
      </c>
      <c r="U159" s="160" t="s">
        <v>2104</v>
      </c>
      <c r="V159" s="160" t="s">
        <v>1411</v>
      </c>
      <c r="W159" s="160" t="s">
        <v>1005</v>
      </c>
      <c r="X159" s="160" t="s">
        <v>1006</v>
      </c>
      <c r="Y159" s="160" t="s">
        <v>1031</v>
      </c>
      <c r="Z159" s="160" t="s">
        <v>823</v>
      </c>
      <c r="AA159" s="166">
        <v>42552</v>
      </c>
      <c r="AB159" s="171">
        <v>15652775748</v>
      </c>
      <c r="AC159" s="171"/>
      <c r="AD159" s="172" t="s">
        <v>2105</v>
      </c>
      <c r="AE159" s="167" t="s">
        <v>2106</v>
      </c>
      <c r="AF159" s="168" t="s">
        <v>2107</v>
      </c>
      <c r="AG159" s="167" t="s">
        <v>1046</v>
      </c>
      <c r="AH159" s="168">
        <v>13253696387</v>
      </c>
      <c r="AI159" s="167" t="s">
        <v>1035</v>
      </c>
      <c r="AJ159" s="167" t="s">
        <v>198</v>
      </c>
      <c r="AK159" s="167"/>
      <c r="AL159" s="163"/>
      <c r="AM159" s="163"/>
      <c r="AN159" s="174"/>
      <c r="AO159" s="167"/>
      <c r="AP159" s="160"/>
      <c r="AQ159" s="158"/>
    </row>
    <row r="160" s="85" customFormat="1" customHeight="1" spans="1:45">
      <c r="A160" s="122">
        <v>159</v>
      </c>
      <c r="B160" s="140">
        <v>42594</v>
      </c>
      <c r="C160" s="137" t="s">
        <v>1013</v>
      </c>
      <c r="D160" s="137" t="s">
        <v>2108</v>
      </c>
      <c r="E160" s="137" t="s">
        <v>1127</v>
      </c>
      <c r="F160" s="141" t="s">
        <v>2109</v>
      </c>
      <c r="G160" s="141" t="s">
        <v>1355</v>
      </c>
      <c r="H160" s="141" t="s">
        <v>2110</v>
      </c>
      <c r="I160" s="139" t="s">
        <v>2111</v>
      </c>
      <c r="J160" s="139" t="s">
        <v>803</v>
      </c>
      <c r="K160" s="139" t="s">
        <v>21</v>
      </c>
      <c r="L160" s="142">
        <v>42591</v>
      </c>
      <c r="M160" s="139" t="str">
        <f ca="1" t="shared" si="4"/>
        <v>9年5个月</v>
      </c>
      <c r="N160" s="181" t="s">
        <v>2112</v>
      </c>
      <c r="O160" s="139" t="s">
        <v>782</v>
      </c>
      <c r="P160" s="142">
        <v>32415</v>
      </c>
      <c r="Q160" s="143">
        <v>27</v>
      </c>
      <c r="R160" s="151" t="s">
        <v>1001</v>
      </c>
      <c r="S160" s="139" t="s">
        <v>879</v>
      </c>
      <c r="T160" s="139" t="s">
        <v>1002</v>
      </c>
      <c r="U160" s="139" t="s">
        <v>1654</v>
      </c>
      <c r="V160" s="139" t="s">
        <v>2113</v>
      </c>
      <c r="W160" s="139" t="s">
        <v>1005</v>
      </c>
      <c r="X160" s="139" t="s">
        <v>1006</v>
      </c>
      <c r="Y160" s="139" t="s">
        <v>2114</v>
      </c>
      <c r="Z160" s="139" t="s">
        <v>2115</v>
      </c>
      <c r="AA160" s="152">
        <v>40695</v>
      </c>
      <c r="AB160" s="153">
        <v>18600616509</v>
      </c>
      <c r="AC160" s="211" t="s">
        <v>2116</v>
      </c>
      <c r="AD160" s="149" t="s">
        <v>2117</v>
      </c>
      <c r="AE160" s="149" t="s">
        <v>2118</v>
      </c>
      <c r="AF160" s="153" t="s">
        <v>2119</v>
      </c>
      <c r="AG160" s="149" t="s">
        <v>1167</v>
      </c>
      <c r="AH160" s="153">
        <v>18911286689</v>
      </c>
      <c r="AI160" s="149" t="s">
        <v>1060</v>
      </c>
      <c r="AJ160" s="149">
        <v>0</v>
      </c>
      <c r="AK160" s="149" t="s">
        <v>2120</v>
      </c>
      <c r="AL160" s="142">
        <v>42591</v>
      </c>
      <c r="AM160" s="142">
        <f>EDATE(AL160,36)-1</f>
        <v>43685</v>
      </c>
      <c r="AN160" s="148">
        <f ca="1">ROUND(AM160-NOW(),0)</f>
        <v>-2367</v>
      </c>
      <c r="AO160" s="146"/>
      <c r="AP160" s="137"/>
      <c r="AQ160" s="137"/>
    </row>
    <row r="161" s="85" customFormat="1" customHeight="1" spans="1:45">
      <c r="A161" s="122">
        <v>160</v>
      </c>
      <c r="B161" s="140">
        <v>42597</v>
      </c>
      <c r="C161" s="139" t="s">
        <v>1026</v>
      </c>
      <c r="D161" s="137"/>
      <c r="E161" s="137" t="s">
        <v>1115</v>
      </c>
      <c r="F161" s="141" t="s">
        <v>2121</v>
      </c>
      <c r="G161" s="141" t="s">
        <v>1772</v>
      </c>
      <c r="H161" s="137" t="s">
        <v>1946</v>
      </c>
      <c r="I161" s="139" t="s">
        <v>2122</v>
      </c>
      <c r="J161" s="139" t="s">
        <v>779</v>
      </c>
      <c r="K161" s="139" t="s">
        <v>21</v>
      </c>
      <c r="L161" s="140">
        <v>42205</v>
      </c>
      <c r="M161" s="139" t="str">
        <f ca="1" t="shared" si="4"/>
        <v>10年6个月</v>
      </c>
      <c r="N161" s="181" t="s">
        <v>2123</v>
      </c>
      <c r="O161" s="139" t="s">
        <v>782</v>
      </c>
      <c r="P161" s="142">
        <v>30936</v>
      </c>
      <c r="Q161" s="139">
        <f ca="1">IF(N161="","",IF(AND(LEN(N161)&lt;&gt;15,LEN(N161)&lt;&gt;18),"错误",ROUNDDOWN((NOW()-P161)/365,0)))</f>
        <v>41</v>
      </c>
      <c r="R161" s="151" t="s">
        <v>1001</v>
      </c>
      <c r="S161" s="139" t="s">
        <v>879</v>
      </c>
      <c r="T161" s="139" t="s">
        <v>1131</v>
      </c>
      <c r="U161" s="139" t="s">
        <v>1830</v>
      </c>
      <c r="V161" s="139" t="s">
        <v>2124</v>
      </c>
      <c r="W161" s="139" t="s">
        <v>1005</v>
      </c>
      <c r="X161" s="139" t="s">
        <v>789</v>
      </c>
      <c r="Y161" s="139" t="s">
        <v>1570</v>
      </c>
      <c r="Z161" s="139" t="s">
        <v>1266</v>
      </c>
      <c r="AA161" s="152">
        <v>39264</v>
      </c>
      <c r="AB161" s="185">
        <v>13810620562</v>
      </c>
      <c r="AC161" s="122" t="s">
        <v>2125</v>
      </c>
      <c r="AD161" s="186" t="s">
        <v>2126</v>
      </c>
      <c r="AE161" s="149" t="s">
        <v>2127</v>
      </c>
      <c r="AF161" s="153" t="s">
        <v>2128</v>
      </c>
      <c r="AG161" s="149" t="s">
        <v>1059</v>
      </c>
      <c r="AH161" s="153">
        <v>18600918370</v>
      </c>
      <c r="AI161" s="149" t="s">
        <v>1080</v>
      </c>
      <c r="AJ161" s="149"/>
      <c r="AK161" s="149"/>
      <c r="AL161" s="140">
        <f>L161</f>
        <v>42205</v>
      </c>
      <c r="AM161" s="142">
        <f>EDATE(AL161,36)-1</f>
        <v>43300</v>
      </c>
      <c r="AN161" s="148">
        <f ca="1">ROUND(AM161-NOW(),0)</f>
        <v>-2752</v>
      </c>
      <c r="AO161" s="146" t="s">
        <v>123</v>
      </c>
      <c r="AP161" s="139"/>
      <c r="AQ161" s="137"/>
    </row>
    <row r="162" s="87" customFormat="1" customHeight="1" spans="1:45">
      <c r="A162" s="122">
        <v>161</v>
      </c>
      <c r="B162" s="140">
        <v>42597</v>
      </c>
      <c r="C162" s="139" t="s">
        <v>1013</v>
      </c>
      <c r="D162" s="137" t="s">
        <v>2129</v>
      </c>
      <c r="E162" s="137" t="s">
        <v>1015</v>
      </c>
      <c r="F162" s="141" t="s">
        <v>2130</v>
      </c>
      <c r="G162" s="141" t="s">
        <v>1224</v>
      </c>
      <c r="H162" s="137" t="s">
        <v>2131</v>
      </c>
      <c r="I162" s="139" t="s">
        <v>1857</v>
      </c>
      <c r="J162" s="139" t="s">
        <v>803</v>
      </c>
      <c r="K162" s="139" t="s">
        <v>21</v>
      </c>
      <c r="L162" s="140">
        <v>42486</v>
      </c>
      <c r="M162" s="139" t="str">
        <f ca="1" t="shared" si="4"/>
        <v>9年9个月</v>
      </c>
      <c r="N162" s="181" t="s">
        <v>2132</v>
      </c>
      <c r="O162" s="139" t="s">
        <v>782</v>
      </c>
      <c r="P162" s="142">
        <v>30073</v>
      </c>
      <c r="Q162" s="139">
        <f ca="1">IF(N162="","",IF(AND(LEN(N162)&lt;&gt;15,LEN(N162)&lt;&gt;18),"错误",ROUNDDOWN((NOW()-P162)/365,0)))</f>
        <v>43</v>
      </c>
      <c r="R162" s="151" t="s">
        <v>1001</v>
      </c>
      <c r="S162" s="139" t="s">
        <v>879</v>
      </c>
      <c r="T162" s="139" t="s">
        <v>1051</v>
      </c>
      <c r="U162" s="139" t="s">
        <v>2133</v>
      </c>
      <c r="V162" s="139" t="s">
        <v>2134</v>
      </c>
      <c r="W162" s="139" t="s">
        <v>1005</v>
      </c>
      <c r="X162" s="139" t="s">
        <v>974</v>
      </c>
      <c r="Y162" s="139" t="s">
        <v>1022</v>
      </c>
      <c r="Z162" s="139" t="s">
        <v>2135</v>
      </c>
      <c r="AA162" s="152">
        <v>39448</v>
      </c>
      <c r="AB162" s="185">
        <v>13811234708</v>
      </c>
      <c r="AC162" s="141" t="s">
        <v>2136</v>
      </c>
      <c r="AD162" s="186" t="s">
        <v>2137</v>
      </c>
      <c r="AE162" s="149" t="s">
        <v>2134</v>
      </c>
      <c r="AF162" s="153" t="s">
        <v>2138</v>
      </c>
      <c r="AG162" s="149" t="s">
        <v>1167</v>
      </c>
      <c r="AH162" s="153">
        <v>13810972253</v>
      </c>
      <c r="AI162" s="149">
        <v>0</v>
      </c>
      <c r="AJ162" s="149">
        <v>0</v>
      </c>
      <c r="AK162" s="149"/>
      <c r="AL162" s="140">
        <f>L162</f>
        <v>42486</v>
      </c>
      <c r="AM162" s="142">
        <f>EDATE(AL162,36)-1</f>
        <v>43580</v>
      </c>
      <c r="AN162" s="148">
        <f ca="1">ROUND(AM162-NOW(),0)</f>
        <v>-2472</v>
      </c>
      <c r="AO162" s="149"/>
      <c r="AP162" s="139"/>
      <c r="AQ162" s="137"/>
    </row>
    <row r="163" s="87" customFormat="1" customHeight="1" spans="1:45">
      <c r="A163" s="122">
        <v>162</v>
      </c>
      <c r="B163" s="126">
        <v>42600</v>
      </c>
      <c r="C163" s="125" t="s">
        <v>1026</v>
      </c>
      <c r="D163" s="132" t="s">
        <v>2043</v>
      </c>
      <c r="E163" s="132" t="s">
        <v>997</v>
      </c>
      <c r="F163" s="127" t="s">
        <v>2139</v>
      </c>
      <c r="G163" s="127" t="s">
        <v>18</v>
      </c>
      <c r="H163" s="123" t="s">
        <v>1938</v>
      </c>
      <c r="I163" s="125" t="s">
        <v>27</v>
      </c>
      <c r="J163" s="125" t="s">
        <v>803</v>
      </c>
      <c r="K163" s="125" t="s">
        <v>21</v>
      </c>
      <c r="L163" s="126">
        <v>42551</v>
      </c>
      <c r="M163" s="125" t="str">
        <f ca="1" t="shared" si="4"/>
        <v>9年6个月</v>
      </c>
      <c r="N163" s="183" t="s">
        <v>2140</v>
      </c>
      <c r="O163" s="125" t="s">
        <v>782</v>
      </c>
      <c r="P163" s="128">
        <v>34256</v>
      </c>
      <c r="Q163" s="125">
        <f ca="1">IF(N163="","",IF(AND(LEN(N163)&lt;&gt;15,LEN(N163)&lt;&gt;18),"错误",ROUNDDOWN((NOW()-P163)/365,0)))</f>
        <v>32</v>
      </c>
      <c r="R163" s="155" t="s">
        <v>1001</v>
      </c>
      <c r="S163" s="125" t="s">
        <v>785</v>
      </c>
      <c r="T163" s="125" t="s">
        <v>1002</v>
      </c>
      <c r="U163" s="125" t="s">
        <v>21</v>
      </c>
      <c r="V163" s="125" t="s">
        <v>2141</v>
      </c>
      <c r="W163" s="125" t="s">
        <v>1005</v>
      </c>
      <c r="X163" s="125" t="s">
        <v>789</v>
      </c>
      <c r="Y163" s="125" t="s">
        <v>1031</v>
      </c>
      <c r="Z163" s="125" t="s">
        <v>2142</v>
      </c>
      <c r="AA163" s="156">
        <v>42552</v>
      </c>
      <c r="AB163" s="177">
        <v>13717526826</v>
      </c>
      <c r="AC163" s="127" t="s">
        <v>2143</v>
      </c>
      <c r="AD163" s="178" t="s">
        <v>2144</v>
      </c>
      <c r="AE163" s="136" t="s">
        <v>2145</v>
      </c>
      <c r="AF163" s="157" t="s">
        <v>2146</v>
      </c>
      <c r="AG163" s="136" t="s">
        <v>1046</v>
      </c>
      <c r="AH163" s="157">
        <v>13701336598</v>
      </c>
      <c r="AI163" s="136" t="s">
        <v>775</v>
      </c>
      <c r="AJ163" s="136" t="s">
        <v>2019</v>
      </c>
      <c r="AK163" s="136"/>
      <c r="AL163" s="126"/>
      <c r="AM163" s="128"/>
      <c r="AN163" s="135"/>
      <c r="AO163" s="136"/>
      <c r="AP163" s="125"/>
      <c r="AQ163" s="123"/>
    </row>
    <row r="164" s="85" customFormat="1" customHeight="1" spans="1:45">
      <c r="A164" s="122">
        <v>163</v>
      </c>
      <c r="B164" s="126">
        <v>42601</v>
      </c>
      <c r="C164" s="125" t="s">
        <v>1026</v>
      </c>
      <c r="D164" s="132" t="s">
        <v>2043</v>
      </c>
      <c r="E164" s="132" t="s">
        <v>997</v>
      </c>
      <c r="F164" s="127" t="s">
        <v>1660</v>
      </c>
      <c r="G164" s="127" t="s">
        <v>18</v>
      </c>
      <c r="H164" s="123" t="s">
        <v>1431</v>
      </c>
      <c r="I164" s="125" t="s">
        <v>27</v>
      </c>
      <c r="J164" s="125" t="s">
        <v>803</v>
      </c>
      <c r="K164" s="125" t="s">
        <v>21</v>
      </c>
      <c r="L164" s="126">
        <v>42457</v>
      </c>
      <c r="M164" s="125" t="str">
        <f ca="1" t="shared" si="4"/>
        <v>9年10个月</v>
      </c>
      <c r="N164" s="183" t="s">
        <v>2147</v>
      </c>
      <c r="O164" s="125" t="s">
        <v>782</v>
      </c>
      <c r="P164" s="128">
        <v>34288</v>
      </c>
      <c r="Q164" s="125">
        <f ca="1">IF(N164="","",IF(AND(LEN(N164)&lt;&gt;15,LEN(N164)&lt;&gt;18),"错误",ROUNDDOWN((NOW()-P164)/365,0)))</f>
        <v>32</v>
      </c>
      <c r="R164" s="155" t="s">
        <v>1001</v>
      </c>
      <c r="S164" s="125" t="s">
        <v>785</v>
      </c>
      <c r="T164" s="125" t="s">
        <v>1002</v>
      </c>
      <c r="U164" s="125" t="s">
        <v>2148</v>
      </c>
      <c r="V164" s="125" t="s">
        <v>1655</v>
      </c>
      <c r="W164" s="125" t="s">
        <v>1005</v>
      </c>
      <c r="X164" s="125" t="s">
        <v>1006</v>
      </c>
      <c r="Y164" s="125" t="s">
        <v>2149</v>
      </c>
      <c r="Z164" s="125" t="s">
        <v>1218</v>
      </c>
      <c r="AA164" s="156">
        <v>42522</v>
      </c>
      <c r="AB164" s="177">
        <v>13263100975</v>
      </c>
      <c r="AC164" s="127" t="s">
        <v>2150</v>
      </c>
      <c r="AD164" s="178" t="s">
        <v>2151</v>
      </c>
      <c r="AE164" s="136" t="s">
        <v>2152</v>
      </c>
      <c r="AF164" s="157" t="s">
        <v>2153</v>
      </c>
      <c r="AG164" s="136" t="s">
        <v>1137</v>
      </c>
      <c r="AH164" s="157">
        <v>13703113803</v>
      </c>
      <c r="AI164" s="136" t="s">
        <v>1035</v>
      </c>
      <c r="AJ164" s="136" t="s">
        <v>1187</v>
      </c>
      <c r="AK164" s="136"/>
      <c r="AL164" s="126"/>
      <c r="AM164" s="128"/>
      <c r="AN164" s="135"/>
      <c r="AO164" s="136"/>
      <c r="AP164" s="125"/>
      <c r="AQ164" s="123"/>
    </row>
    <row r="165" s="85" customFormat="1" customHeight="1" spans="1:45">
      <c r="A165" s="122">
        <v>164</v>
      </c>
      <c r="B165" s="140">
        <v>42601</v>
      </c>
      <c r="C165" s="139" t="s">
        <v>1026</v>
      </c>
      <c r="D165" s="122" t="s">
        <v>1127</v>
      </c>
      <c r="E165" s="122" t="s">
        <v>1127</v>
      </c>
      <c r="F165" s="141" t="s">
        <v>2154</v>
      </c>
      <c r="G165" s="141" t="s">
        <v>1530</v>
      </c>
      <c r="H165" s="137" t="s">
        <v>2155</v>
      </c>
      <c r="I165" s="139" t="s">
        <v>2156</v>
      </c>
      <c r="J165" s="139" t="s">
        <v>1227</v>
      </c>
      <c r="K165" s="139" t="s">
        <v>227</v>
      </c>
      <c r="L165" s="142">
        <v>42491</v>
      </c>
      <c r="M165" s="139" t="s">
        <v>2157</v>
      </c>
      <c r="N165" s="181" t="s">
        <v>2158</v>
      </c>
      <c r="O165" s="139" t="s">
        <v>782</v>
      </c>
      <c r="P165" s="142" t="s">
        <v>2159</v>
      </c>
      <c r="Q165" s="143">
        <v>30</v>
      </c>
      <c r="R165" s="151" t="s">
        <v>1001</v>
      </c>
      <c r="S165" s="139" t="s">
        <v>785</v>
      </c>
      <c r="T165" s="139" t="s">
        <v>1002</v>
      </c>
      <c r="U165" s="139" t="s">
        <v>2160</v>
      </c>
      <c r="V165" s="139" t="s">
        <v>2161</v>
      </c>
      <c r="W165" s="139" t="s">
        <v>2162</v>
      </c>
      <c r="X165" s="139" t="s">
        <v>789</v>
      </c>
      <c r="Y165" s="139" t="s">
        <v>2163</v>
      </c>
      <c r="Z165" s="139" t="s">
        <v>2164</v>
      </c>
      <c r="AA165" s="152"/>
      <c r="AB165" s="153" t="s">
        <v>2165</v>
      </c>
      <c r="AC165" s="211" t="s">
        <v>2166</v>
      </c>
      <c r="AD165" s="149" t="s">
        <v>2167</v>
      </c>
      <c r="AE165" s="149" t="s">
        <v>2168</v>
      </c>
      <c r="AF165" s="153" t="s">
        <v>2169</v>
      </c>
      <c r="AG165" s="149" t="s">
        <v>1332</v>
      </c>
      <c r="AH165" s="153">
        <v>18907070798</v>
      </c>
      <c r="AI165" s="149" t="s">
        <v>1866</v>
      </c>
      <c r="AJ165" s="149"/>
      <c r="AK165" s="149"/>
      <c r="AL165" s="142">
        <v>42491</v>
      </c>
      <c r="AM165" s="142">
        <v>43221</v>
      </c>
      <c r="AN165" s="148"/>
      <c r="AO165" s="149"/>
      <c r="AP165" s="139"/>
      <c r="AQ165" s="137"/>
    </row>
    <row r="166" s="87" customFormat="1" customHeight="1" spans="1:45">
      <c r="A166" s="122">
        <v>165</v>
      </c>
      <c r="B166" s="140">
        <v>42605</v>
      </c>
      <c r="C166" s="139" t="s">
        <v>1026</v>
      </c>
      <c r="D166" s="137" t="s">
        <v>2170</v>
      </c>
      <c r="E166" s="137" t="s">
        <v>1115</v>
      </c>
      <c r="F166" s="141" t="s">
        <v>2171</v>
      </c>
      <c r="G166" s="141" t="s">
        <v>18</v>
      </c>
      <c r="H166" s="137" t="s">
        <v>2172</v>
      </c>
      <c r="I166" s="139" t="s">
        <v>2173</v>
      </c>
      <c r="J166" s="139" t="s">
        <v>803</v>
      </c>
      <c r="K166" s="139" t="s">
        <v>21</v>
      </c>
      <c r="L166" s="142">
        <v>42571</v>
      </c>
      <c r="M166" s="139" t="str">
        <f ca="1" t="shared" ref="M166:M171" si="6">IF(L166="","",DATEDIF(L166,NOW(),"Y")&amp;"年"&amp;MOD(DATEDIF(L166,NOW(),"M"),12)&amp;"个月")</f>
        <v>9年6个月</v>
      </c>
      <c r="N166" s="181" t="s">
        <v>2174</v>
      </c>
      <c r="O166" s="139" t="s">
        <v>782</v>
      </c>
      <c r="P166" s="142">
        <v>32235</v>
      </c>
      <c r="Q166" s="143">
        <v>28</v>
      </c>
      <c r="R166" s="151" t="s">
        <v>1001</v>
      </c>
      <c r="S166" s="139" t="s">
        <v>785</v>
      </c>
      <c r="T166" s="139" t="s">
        <v>1002</v>
      </c>
      <c r="U166" s="139" t="s">
        <v>2175</v>
      </c>
      <c r="V166" s="139" t="s">
        <v>2176</v>
      </c>
      <c r="W166" s="139" t="s">
        <v>1005</v>
      </c>
      <c r="X166" s="139" t="s">
        <v>1161</v>
      </c>
      <c r="Y166" s="139" t="s">
        <v>1007</v>
      </c>
      <c r="Z166" s="139" t="s">
        <v>2177</v>
      </c>
      <c r="AA166" s="152">
        <v>42522</v>
      </c>
      <c r="AB166" s="153">
        <v>18610551058</v>
      </c>
      <c r="AC166" s="141" t="s">
        <v>2178</v>
      </c>
      <c r="AD166" s="149" t="s">
        <v>2179</v>
      </c>
      <c r="AE166" s="149" t="s">
        <v>2180</v>
      </c>
      <c r="AF166" s="153" t="s">
        <v>2181</v>
      </c>
      <c r="AG166" s="149" t="s">
        <v>1125</v>
      </c>
      <c r="AH166" s="153">
        <v>18613880557</v>
      </c>
      <c r="AI166" s="149" t="s">
        <v>1035</v>
      </c>
      <c r="AJ166" s="149" t="s">
        <v>43</v>
      </c>
      <c r="AK166" s="149"/>
      <c r="AL166" s="142">
        <v>42570</v>
      </c>
      <c r="AM166" s="142">
        <f>EDATE(AL166,36)-1</f>
        <v>43664</v>
      </c>
      <c r="AN166" s="148">
        <f ca="1">ROUND(AM166-NOW(),0)</f>
        <v>-2388</v>
      </c>
      <c r="AO166" s="149"/>
      <c r="AP166" s="139"/>
      <c r="AQ166" s="137"/>
    </row>
    <row r="167" s="85" customFormat="1" customHeight="1" spans="1:45">
      <c r="A167" s="122">
        <v>166</v>
      </c>
      <c r="B167" s="126">
        <v>42608</v>
      </c>
      <c r="C167" s="125" t="s">
        <v>1026</v>
      </c>
      <c r="D167" s="132" t="s">
        <v>2085</v>
      </c>
      <c r="E167" s="132" t="s">
        <v>1127</v>
      </c>
      <c r="F167" s="127" t="s">
        <v>2182</v>
      </c>
      <c r="G167" s="127" t="s">
        <v>18</v>
      </c>
      <c r="H167" s="123" t="s">
        <v>1431</v>
      </c>
      <c r="I167" s="125" t="s">
        <v>27</v>
      </c>
      <c r="J167" s="125" t="s">
        <v>803</v>
      </c>
      <c r="K167" s="125" t="s">
        <v>21</v>
      </c>
      <c r="L167" s="126">
        <v>42562</v>
      </c>
      <c r="M167" s="126" t="str">
        <f ca="1" t="shared" si="6"/>
        <v>9年6个月</v>
      </c>
      <c r="N167" s="183" t="s">
        <v>2183</v>
      </c>
      <c r="O167" s="125" t="s">
        <v>782</v>
      </c>
      <c r="P167" s="128">
        <v>35560</v>
      </c>
      <c r="Q167" s="125">
        <f ca="1">IF(N167="","",IF(AND(LEN(N167)&lt;&gt;15,LEN(N167)&lt;&gt;18),"错误",ROUNDDOWN((NOW()-P167)/365,0)))</f>
        <v>28</v>
      </c>
      <c r="R167" s="155" t="s">
        <v>1001</v>
      </c>
      <c r="S167" s="125" t="s">
        <v>785</v>
      </c>
      <c r="T167" s="125" t="s">
        <v>1002</v>
      </c>
      <c r="U167" s="125" t="s">
        <v>2184</v>
      </c>
      <c r="V167" s="125" t="s">
        <v>1411</v>
      </c>
      <c r="W167" s="125" t="s">
        <v>1005</v>
      </c>
      <c r="X167" s="125" t="s">
        <v>1006</v>
      </c>
      <c r="Y167" s="125" t="s">
        <v>1031</v>
      </c>
      <c r="Z167" s="125" t="s">
        <v>2185</v>
      </c>
      <c r="AA167" s="156">
        <v>43647</v>
      </c>
      <c r="AB167" s="177">
        <v>18810238529</v>
      </c>
      <c r="AC167" s="127" t="s">
        <v>2186</v>
      </c>
      <c r="AD167" s="178" t="s">
        <v>2187</v>
      </c>
      <c r="AE167" s="136" t="s">
        <v>1044</v>
      </c>
      <c r="AF167" s="157" t="s">
        <v>2188</v>
      </c>
      <c r="AG167" s="136" t="s">
        <v>1046</v>
      </c>
      <c r="AH167" s="157">
        <v>13506840088</v>
      </c>
      <c r="AI167" s="136" t="s">
        <v>1035</v>
      </c>
      <c r="AJ167" s="136" t="s">
        <v>237</v>
      </c>
      <c r="AK167" s="136"/>
      <c r="AL167" s="126"/>
      <c r="AM167" s="128"/>
      <c r="AN167" s="135"/>
      <c r="AO167" s="136"/>
      <c r="AP167" s="125"/>
      <c r="AQ167" s="123"/>
    </row>
    <row r="168" s="85" customFormat="1" customHeight="1" spans="1:45">
      <c r="A168" s="122">
        <v>167</v>
      </c>
      <c r="B168" s="140">
        <v>42613</v>
      </c>
      <c r="C168" s="137" t="s">
        <v>1013</v>
      </c>
      <c r="D168" s="122" t="s">
        <v>1726</v>
      </c>
      <c r="E168" s="122" t="s">
        <v>1726</v>
      </c>
      <c r="F168" s="141" t="s">
        <v>2189</v>
      </c>
      <c r="G168" s="141" t="s">
        <v>1772</v>
      </c>
      <c r="H168" s="137" t="s">
        <v>2190</v>
      </c>
      <c r="I168" s="139" t="s">
        <v>2191</v>
      </c>
      <c r="J168" s="139" t="s">
        <v>779</v>
      </c>
      <c r="K168" s="139" t="s">
        <v>21</v>
      </c>
      <c r="L168" s="140">
        <v>42339</v>
      </c>
      <c r="M168" s="139" t="str">
        <f ca="1" t="shared" si="6"/>
        <v>10年1个月</v>
      </c>
      <c r="N168" s="181" t="s">
        <v>2192</v>
      </c>
      <c r="O168" s="139" t="s">
        <v>782</v>
      </c>
      <c r="P168" s="142">
        <v>29528</v>
      </c>
      <c r="Q168" s="139">
        <f ca="1">IF(N168="","",IF(AND(LEN(N168)&lt;&gt;15,LEN(N168)&lt;&gt;18),"错误",ROUNDDOWN((NOW()-P168)/365,0)))</f>
        <v>45</v>
      </c>
      <c r="R168" s="151" t="s">
        <v>1001</v>
      </c>
      <c r="S168" s="139" t="s">
        <v>1349</v>
      </c>
      <c r="T168" s="139" t="s">
        <v>1002</v>
      </c>
      <c r="U168" s="139" t="s">
        <v>2193</v>
      </c>
      <c r="V168" s="139" t="s">
        <v>2194</v>
      </c>
      <c r="W168" s="139" t="s">
        <v>1005</v>
      </c>
      <c r="X168" s="139" t="s">
        <v>974</v>
      </c>
      <c r="Y168" s="139" t="s">
        <v>2014</v>
      </c>
      <c r="Z168" s="139" t="s">
        <v>1110</v>
      </c>
      <c r="AA168" s="152">
        <v>39264</v>
      </c>
      <c r="AB168" s="185">
        <v>15001051953</v>
      </c>
      <c r="AC168" s="141" t="s">
        <v>2195</v>
      </c>
      <c r="AD168" s="186" t="s">
        <v>2196</v>
      </c>
      <c r="AE168" s="149" t="s">
        <v>2194</v>
      </c>
      <c r="AF168" s="153" t="s">
        <v>2197</v>
      </c>
      <c r="AG168" s="149" t="s">
        <v>1011</v>
      </c>
      <c r="AH168" s="153">
        <v>13693234467</v>
      </c>
      <c r="AI168" s="149" t="s">
        <v>1035</v>
      </c>
      <c r="AJ168" s="149" t="s">
        <v>1896</v>
      </c>
      <c r="AK168" s="149"/>
      <c r="AL168" s="140">
        <f>L168</f>
        <v>42339</v>
      </c>
      <c r="AM168" s="142">
        <f>EDATE(AL168,36)-1</f>
        <v>43434</v>
      </c>
      <c r="AN168" s="148">
        <f ca="1">ROUND(AM168-NOW(),0)</f>
        <v>-2618</v>
      </c>
      <c r="AO168" s="146" t="s">
        <v>123</v>
      </c>
      <c r="AP168" s="139"/>
      <c r="AQ168" s="137"/>
    </row>
    <row r="169" s="85" customFormat="1" customHeight="1" spans="1:45">
      <c r="A169" s="122">
        <v>168</v>
      </c>
      <c r="B169" s="140">
        <v>42615</v>
      </c>
      <c r="C169" s="137" t="s">
        <v>1013</v>
      </c>
      <c r="D169" s="122" t="s">
        <v>1726</v>
      </c>
      <c r="E169" s="122" t="s">
        <v>1726</v>
      </c>
      <c r="F169" s="141" t="s">
        <v>2198</v>
      </c>
      <c r="G169" s="141" t="s">
        <v>1530</v>
      </c>
      <c r="H169" s="137" t="s">
        <v>1946</v>
      </c>
      <c r="I169" s="139" t="s">
        <v>2199</v>
      </c>
      <c r="J169" s="139" t="s">
        <v>779</v>
      </c>
      <c r="K169" s="139" t="s">
        <v>309</v>
      </c>
      <c r="L169" s="140">
        <v>42317</v>
      </c>
      <c r="M169" s="139" t="str">
        <f ca="1" t="shared" si="6"/>
        <v>10年2个月</v>
      </c>
      <c r="N169" s="181" t="s">
        <v>2200</v>
      </c>
      <c r="O169" s="139" t="s">
        <v>782</v>
      </c>
      <c r="P169" s="142">
        <v>27803</v>
      </c>
      <c r="Q169" s="139">
        <f ca="1">IF(N169="","",IF(AND(LEN(N169)&lt;&gt;15,LEN(N169)&lt;&gt;18),"错误",ROUNDDOWN((NOW()-P169)/365,0)))</f>
        <v>49</v>
      </c>
      <c r="R169" s="151" t="s">
        <v>1001</v>
      </c>
      <c r="S169" s="139" t="s">
        <v>879</v>
      </c>
      <c r="T169" s="139" t="s">
        <v>1275</v>
      </c>
      <c r="U169" s="139" t="s">
        <v>2201</v>
      </c>
      <c r="V169" s="139" t="s">
        <v>2202</v>
      </c>
      <c r="W169" s="139" t="s">
        <v>1005</v>
      </c>
      <c r="X169" s="139" t="s">
        <v>1006</v>
      </c>
      <c r="Y169" s="139" t="s">
        <v>2203</v>
      </c>
      <c r="Z169" s="139" t="s">
        <v>824</v>
      </c>
      <c r="AA169" s="152">
        <v>38353</v>
      </c>
      <c r="AB169" s="185">
        <v>13909298499</v>
      </c>
      <c r="AC169" s="141" t="s">
        <v>2204</v>
      </c>
      <c r="AD169" s="186" t="s">
        <v>2205</v>
      </c>
      <c r="AE169" s="149" t="s">
        <v>2206</v>
      </c>
      <c r="AF169" s="153" t="s">
        <v>2207</v>
      </c>
      <c r="AG169" s="149" t="s">
        <v>1167</v>
      </c>
      <c r="AH169" s="153">
        <v>13630213326</v>
      </c>
      <c r="AI169" s="149" t="s">
        <v>1035</v>
      </c>
      <c r="AJ169" s="149" t="s">
        <v>1868</v>
      </c>
      <c r="AK169" s="149"/>
      <c r="AL169" s="140">
        <f>L169</f>
        <v>42317</v>
      </c>
      <c r="AM169" s="142">
        <f>EDATE(AL169,36)-1</f>
        <v>43412</v>
      </c>
      <c r="AN169" s="148">
        <f ca="1">ROUND(AM169-NOW(),0)</f>
        <v>-2640</v>
      </c>
      <c r="AO169" s="146" t="s">
        <v>123</v>
      </c>
      <c r="AP169" s="139"/>
      <c r="AQ169" s="137"/>
    </row>
    <row r="170" s="85" customFormat="1" customHeight="1" spans="1:45">
      <c r="A170" s="122">
        <v>169</v>
      </c>
      <c r="B170" s="140">
        <v>42615</v>
      </c>
      <c r="C170" s="139" t="s">
        <v>1026</v>
      </c>
      <c r="D170" s="122" t="s">
        <v>2208</v>
      </c>
      <c r="E170" s="122" t="s">
        <v>1115</v>
      </c>
      <c r="F170" s="141" t="s">
        <v>2209</v>
      </c>
      <c r="G170" s="212" t="s">
        <v>1530</v>
      </c>
      <c r="H170" s="137" t="s">
        <v>2210</v>
      </c>
      <c r="I170" s="139" t="s">
        <v>2211</v>
      </c>
      <c r="J170" s="139" t="s">
        <v>803</v>
      </c>
      <c r="K170" s="139" t="s">
        <v>21</v>
      </c>
      <c r="L170" s="140">
        <v>42520</v>
      </c>
      <c r="M170" s="139" t="str">
        <f ca="1" t="shared" si="6"/>
        <v>9年7个月</v>
      </c>
      <c r="N170" s="181" t="s">
        <v>2212</v>
      </c>
      <c r="O170" s="139" t="s">
        <v>782</v>
      </c>
      <c r="P170" s="142">
        <v>32152</v>
      </c>
      <c r="Q170" s="139">
        <f ca="1">IF(N170="","",IF(AND(LEN(N170)&lt;&gt;15,LEN(N170)&lt;&gt;18),"错误",ROUNDDOWN((NOW()-P170)/365,0)))</f>
        <v>38</v>
      </c>
      <c r="R170" s="151" t="s">
        <v>1001</v>
      </c>
      <c r="S170" s="139" t="s">
        <v>785</v>
      </c>
      <c r="T170" s="139" t="s">
        <v>1002</v>
      </c>
      <c r="U170" s="139" t="s">
        <v>1377</v>
      </c>
      <c r="V170" s="139" t="s">
        <v>2213</v>
      </c>
      <c r="W170" s="139" t="s">
        <v>1005</v>
      </c>
      <c r="X170" s="139" t="s">
        <v>1006</v>
      </c>
      <c r="Y170" s="139" t="s">
        <v>1910</v>
      </c>
      <c r="Z170" s="139" t="s">
        <v>1240</v>
      </c>
      <c r="AA170" s="152">
        <v>41091</v>
      </c>
      <c r="AB170" s="185">
        <v>18618373702</v>
      </c>
      <c r="AC170" s="141" t="s">
        <v>2214</v>
      </c>
      <c r="AD170" s="186" t="s">
        <v>2215</v>
      </c>
      <c r="AE170" s="149" t="s">
        <v>2216</v>
      </c>
      <c r="AF170" s="153" t="s">
        <v>2217</v>
      </c>
      <c r="AG170" s="149" t="s">
        <v>1974</v>
      </c>
      <c r="AH170" s="153">
        <v>18618481305</v>
      </c>
      <c r="AI170" s="149" t="s">
        <v>1060</v>
      </c>
      <c r="AJ170" s="149">
        <v>0</v>
      </c>
      <c r="AK170" s="149"/>
      <c r="AL170" s="140">
        <f>L170</f>
        <v>42520</v>
      </c>
      <c r="AM170" s="142">
        <f>EDATE(AL170,36)-1</f>
        <v>43614</v>
      </c>
      <c r="AN170" s="148">
        <f ca="1">ROUND(AM170-NOW(),0)</f>
        <v>-2438</v>
      </c>
      <c r="AO170" s="149"/>
      <c r="AP170" s="139"/>
      <c r="AQ170" s="137"/>
    </row>
    <row r="171" s="85" customFormat="1" customHeight="1" spans="1:45">
      <c r="A171" s="122">
        <v>170</v>
      </c>
      <c r="B171" s="140">
        <v>42631</v>
      </c>
      <c r="C171" s="137" t="s">
        <v>1013</v>
      </c>
      <c r="D171" s="122" t="s">
        <v>2218</v>
      </c>
      <c r="E171" s="122" t="s">
        <v>1015</v>
      </c>
      <c r="F171" s="141" t="s">
        <v>2219</v>
      </c>
      <c r="G171" s="139" t="s">
        <v>1566</v>
      </c>
      <c r="H171" s="137" t="s">
        <v>1252</v>
      </c>
      <c r="I171" s="139" t="s">
        <v>1511</v>
      </c>
      <c r="J171" s="139" t="s">
        <v>803</v>
      </c>
      <c r="K171" s="139" t="s">
        <v>21</v>
      </c>
      <c r="L171" s="140">
        <v>42510</v>
      </c>
      <c r="M171" s="139" t="str">
        <f ca="1" t="shared" si="6"/>
        <v>9年8个月</v>
      </c>
      <c r="N171" s="181" t="s">
        <v>2220</v>
      </c>
      <c r="O171" s="139" t="s">
        <v>794</v>
      </c>
      <c r="P171" s="142">
        <v>31771</v>
      </c>
      <c r="Q171" s="139">
        <f ca="1">IF(N171="","",IF(AND(LEN(N171)&lt;&gt;15,LEN(N171)&lt;&gt;18),"错误",ROUNDDOWN((NOW()-P171)/365,0)))</f>
        <v>39</v>
      </c>
      <c r="R171" s="151" t="s">
        <v>784</v>
      </c>
      <c r="S171" s="139" t="s">
        <v>785</v>
      </c>
      <c r="T171" s="139" t="s">
        <v>1002</v>
      </c>
      <c r="U171" s="139" t="s">
        <v>2221</v>
      </c>
      <c r="V171" s="139" t="s">
        <v>2222</v>
      </c>
      <c r="W171" s="139" t="s">
        <v>1005</v>
      </c>
      <c r="X171" s="139" t="s">
        <v>1006</v>
      </c>
      <c r="Y171" s="139" t="s">
        <v>2223</v>
      </c>
      <c r="Z171" s="139" t="s">
        <v>1258</v>
      </c>
      <c r="AA171" s="152">
        <v>40369</v>
      </c>
      <c r="AB171" s="185">
        <v>13023230223</v>
      </c>
      <c r="AC171" s="141" t="s">
        <v>2224</v>
      </c>
      <c r="AD171" s="186" t="s">
        <v>2225</v>
      </c>
      <c r="AE171" s="149" t="s">
        <v>2226</v>
      </c>
      <c r="AF171" s="153" t="s">
        <v>2227</v>
      </c>
      <c r="AG171" s="149" t="s">
        <v>1406</v>
      </c>
      <c r="AH171" s="153">
        <v>15141298752</v>
      </c>
      <c r="AI171" s="149" t="s">
        <v>1060</v>
      </c>
      <c r="AJ171" s="149">
        <v>0</v>
      </c>
      <c r="AK171" s="149"/>
      <c r="AL171" s="140">
        <f>L171</f>
        <v>42510</v>
      </c>
      <c r="AM171" s="142">
        <f>EDATE(AL171,36)-1</f>
        <v>43604</v>
      </c>
      <c r="AN171" s="148">
        <f ca="1">ROUND(AM171-NOW(),0)</f>
        <v>-2448</v>
      </c>
      <c r="AO171" s="149"/>
      <c r="AP171" s="139"/>
      <c r="AQ171" s="137"/>
      <c r="AR171" s="94"/>
    </row>
    <row r="172" s="85" customFormat="1" customHeight="1" spans="1:45">
      <c r="A172" s="122">
        <v>171</v>
      </c>
      <c r="B172" s="140">
        <v>42632</v>
      </c>
      <c r="C172" s="137" t="s">
        <v>1013</v>
      </c>
      <c r="D172" s="122" t="s">
        <v>1726</v>
      </c>
      <c r="E172" s="122" t="s">
        <v>1726</v>
      </c>
      <c r="F172" s="141" t="s">
        <v>2228</v>
      </c>
      <c r="G172" s="141" t="s">
        <v>1530</v>
      </c>
      <c r="H172" s="137" t="s">
        <v>1289</v>
      </c>
      <c r="I172" s="139" t="s">
        <v>208</v>
      </c>
      <c r="J172" s="139" t="s">
        <v>1227</v>
      </c>
      <c r="K172" s="139" t="s">
        <v>227</v>
      </c>
      <c r="L172" s="142">
        <v>42285</v>
      </c>
      <c r="M172" s="139" t="s">
        <v>2229</v>
      </c>
      <c r="N172" s="181" t="s">
        <v>2230</v>
      </c>
      <c r="O172" s="139" t="s">
        <v>782</v>
      </c>
      <c r="P172" s="142" t="s">
        <v>2231</v>
      </c>
      <c r="Q172" s="143">
        <v>34</v>
      </c>
      <c r="R172" s="151" t="s">
        <v>1001</v>
      </c>
      <c r="S172" s="139" t="s">
        <v>879</v>
      </c>
      <c r="T172" s="139" t="s">
        <v>1002</v>
      </c>
      <c r="U172" s="139" t="s">
        <v>2232</v>
      </c>
      <c r="V172" s="139" t="s">
        <v>2233</v>
      </c>
      <c r="W172" s="139" t="s">
        <v>1371</v>
      </c>
      <c r="X172" s="139" t="s">
        <v>789</v>
      </c>
      <c r="Y172" s="139" t="s">
        <v>2234</v>
      </c>
      <c r="Z172" s="139" t="s">
        <v>824</v>
      </c>
      <c r="AA172" s="152">
        <v>38543</v>
      </c>
      <c r="AB172" s="153" t="s">
        <v>2235</v>
      </c>
      <c r="AC172" s="211" t="s">
        <v>2236</v>
      </c>
      <c r="AD172" s="149"/>
      <c r="AE172" s="149"/>
      <c r="AF172" s="153"/>
      <c r="AG172" s="149"/>
      <c r="AH172" s="153"/>
      <c r="AI172" s="149"/>
      <c r="AJ172" s="149"/>
      <c r="AK172" s="149"/>
      <c r="AL172" s="142">
        <v>42285</v>
      </c>
      <c r="AM172" s="142">
        <v>43015</v>
      </c>
      <c r="AN172" s="148"/>
      <c r="AO172" s="149"/>
      <c r="AP172" s="139"/>
      <c r="AQ172" s="137"/>
    </row>
    <row r="173" s="85" customFormat="1" customHeight="1" spans="1:45">
      <c r="A173" s="122">
        <v>172</v>
      </c>
      <c r="B173" s="140">
        <v>42632</v>
      </c>
      <c r="C173" s="139" t="s">
        <v>1013</v>
      </c>
      <c r="D173" s="122" t="s">
        <v>1726</v>
      </c>
      <c r="E173" s="122" t="s">
        <v>1726</v>
      </c>
      <c r="F173" s="141" t="s">
        <v>2237</v>
      </c>
      <c r="G173" s="141" t="s">
        <v>1530</v>
      </c>
      <c r="H173" s="137" t="s">
        <v>1617</v>
      </c>
      <c r="I173" s="139" t="s">
        <v>2238</v>
      </c>
      <c r="J173" s="139" t="s">
        <v>1227</v>
      </c>
      <c r="K173" s="139" t="s">
        <v>227</v>
      </c>
      <c r="L173" s="142">
        <v>42450</v>
      </c>
      <c r="M173" s="139" t="s">
        <v>2239</v>
      </c>
      <c r="N173" s="181" t="s">
        <v>2240</v>
      </c>
      <c r="O173" s="139" t="s">
        <v>794</v>
      </c>
      <c r="P173" s="142" t="s">
        <v>2241</v>
      </c>
      <c r="Q173" s="143">
        <v>32</v>
      </c>
      <c r="R173" s="151" t="s">
        <v>1001</v>
      </c>
      <c r="S173" s="139" t="s">
        <v>879</v>
      </c>
      <c r="T173" s="139" t="s">
        <v>1292</v>
      </c>
      <c r="U173" s="139" t="s">
        <v>2242</v>
      </c>
      <c r="V173" s="139" t="s">
        <v>2243</v>
      </c>
      <c r="W173" s="139" t="s">
        <v>1678</v>
      </c>
      <c r="X173" s="139" t="s">
        <v>789</v>
      </c>
      <c r="Y173" s="139" t="s">
        <v>2244</v>
      </c>
      <c r="Z173" s="139" t="s">
        <v>2245</v>
      </c>
      <c r="AA173" s="152"/>
      <c r="AB173" s="153" t="s">
        <v>2246</v>
      </c>
      <c r="AC173" s="211" t="s">
        <v>2247</v>
      </c>
      <c r="AD173" s="149" t="s">
        <v>2248</v>
      </c>
      <c r="AE173" s="149" t="s">
        <v>2249</v>
      </c>
      <c r="AF173" s="153" t="s">
        <v>2250</v>
      </c>
      <c r="AG173" s="149" t="s">
        <v>1846</v>
      </c>
      <c r="AH173" s="153">
        <v>15857179263</v>
      </c>
      <c r="AI173" s="149" t="s">
        <v>1634</v>
      </c>
      <c r="AJ173" s="149"/>
      <c r="AK173" s="149"/>
      <c r="AL173" s="142">
        <v>42450</v>
      </c>
      <c r="AM173" s="142">
        <v>43180</v>
      </c>
      <c r="AN173" s="148"/>
      <c r="AO173" s="149"/>
      <c r="AP173" s="139"/>
      <c r="AQ173" s="137"/>
      <c r="AR173" s="94"/>
    </row>
    <row r="174" s="85" customFormat="1" customHeight="1" spans="1:45">
      <c r="A174" s="122">
        <v>173</v>
      </c>
      <c r="B174" s="140">
        <v>42632</v>
      </c>
      <c r="C174" s="137" t="s">
        <v>1013</v>
      </c>
      <c r="D174" s="122" t="s">
        <v>1726</v>
      </c>
      <c r="E174" s="122" t="s">
        <v>1726</v>
      </c>
      <c r="F174" s="141" t="s">
        <v>2251</v>
      </c>
      <c r="G174" s="141" t="s">
        <v>1530</v>
      </c>
      <c r="H174" s="137" t="s">
        <v>1289</v>
      </c>
      <c r="I174" s="139" t="s">
        <v>1519</v>
      </c>
      <c r="J174" s="139" t="s">
        <v>1227</v>
      </c>
      <c r="K174" s="139" t="s">
        <v>227</v>
      </c>
      <c r="L174" s="142">
        <v>42471</v>
      </c>
      <c r="M174" s="139" t="s">
        <v>2252</v>
      </c>
      <c r="N174" s="181" t="s">
        <v>2253</v>
      </c>
      <c r="O174" s="139" t="s">
        <v>782</v>
      </c>
      <c r="P174" s="142" t="s">
        <v>2254</v>
      </c>
      <c r="Q174" s="143">
        <v>28</v>
      </c>
      <c r="R174" s="151" t="s">
        <v>1001</v>
      </c>
      <c r="S174" s="139" t="s">
        <v>785</v>
      </c>
      <c r="T174" s="139" t="s">
        <v>1002</v>
      </c>
      <c r="U174" s="139" t="s">
        <v>2255</v>
      </c>
      <c r="V174" s="139" t="s">
        <v>2256</v>
      </c>
      <c r="W174" s="139" t="s">
        <v>2257</v>
      </c>
      <c r="X174" s="139" t="s">
        <v>789</v>
      </c>
      <c r="Y174" s="139" t="s">
        <v>2258</v>
      </c>
      <c r="Z174" s="139" t="s">
        <v>2259</v>
      </c>
      <c r="AA174" s="152" t="s">
        <v>2260</v>
      </c>
      <c r="AB174" s="153">
        <v>18258289877</v>
      </c>
      <c r="AC174" s="211" t="s">
        <v>2261</v>
      </c>
      <c r="AD174" s="149" t="s">
        <v>2262</v>
      </c>
      <c r="AE174" s="149" t="s">
        <v>2263</v>
      </c>
      <c r="AF174" s="153" t="s">
        <v>2264</v>
      </c>
      <c r="AG174" s="149" t="s">
        <v>1046</v>
      </c>
      <c r="AH174" s="153">
        <v>13349126595</v>
      </c>
      <c r="AI174" s="149" t="s">
        <v>1634</v>
      </c>
      <c r="AJ174" s="149"/>
      <c r="AK174" s="149"/>
      <c r="AL174" s="142">
        <v>42471</v>
      </c>
      <c r="AM174" s="142"/>
      <c r="AN174" s="148"/>
      <c r="AO174" s="149"/>
      <c r="AP174" s="139"/>
      <c r="AQ174" s="137"/>
    </row>
    <row r="175" s="85" customFormat="1" customHeight="1" spans="1:45">
      <c r="A175" s="122">
        <v>174</v>
      </c>
      <c r="B175" s="140">
        <v>42632</v>
      </c>
      <c r="C175" s="137" t="s">
        <v>1013</v>
      </c>
      <c r="D175" s="122" t="s">
        <v>1726</v>
      </c>
      <c r="E175" s="122" t="s">
        <v>1726</v>
      </c>
      <c r="F175" s="141" t="s">
        <v>2265</v>
      </c>
      <c r="G175" s="141" t="s">
        <v>1530</v>
      </c>
      <c r="H175" s="213" t="s">
        <v>1905</v>
      </c>
      <c r="I175" s="139" t="s">
        <v>2266</v>
      </c>
      <c r="J175" s="139" t="s">
        <v>779</v>
      </c>
      <c r="K175" s="139" t="s">
        <v>137</v>
      </c>
      <c r="L175" s="140">
        <v>42471</v>
      </c>
      <c r="M175" s="139" t="str">
        <f ca="1">IF(L175="","",DATEDIF(L175,NOW(),"Y")&amp;"年"&amp;MOD(DATEDIF(L175,NOW(),"M"),12)&amp;"个月")</f>
        <v>9年9个月</v>
      </c>
      <c r="N175" s="181" t="s">
        <v>2267</v>
      </c>
      <c r="O175" s="139" t="s">
        <v>782</v>
      </c>
      <c r="P175" s="142">
        <v>31922</v>
      </c>
      <c r="Q175" s="139">
        <f ca="1">IF(N175="","",IF(AND(LEN(N175)&lt;&gt;15,LEN(N175)&lt;&gt;18),"错误",ROUNDDOWN((NOW()-P175)/365,0)))</f>
        <v>38</v>
      </c>
      <c r="R175" s="151" t="s">
        <v>1001</v>
      </c>
      <c r="S175" s="139" t="s">
        <v>879</v>
      </c>
      <c r="T175" s="139" t="s">
        <v>1051</v>
      </c>
      <c r="U175" s="139" t="s">
        <v>2268</v>
      </c>
      <c r="V175" s="139" t="s">
        <v>2269</v>
      </c>
      <c r="W175" s="139" t="s">
        <v>1054</v>
      </c>
      <c r="X175" s="139" t="s">
        <v>1006</v>
      </c>
      <c r="Y175" s="139" t="s">
        <v>1466</v>
      </c>
      <c r="Z175" s="139" t="s">
        <v>2270</v>
      </c>
      <c r="AA175" s="152">
        <v>40360</v>
      </c>
      <c r="AB175" s="185">
        <v>13771608377</v>
      </c>
      <c r="AC175" s="141" t="s">
        <v>2271</v>
      </c>
      <c r="AD175" s="186" t="s">
        <v>2272</v>
      </c>
      <c r="AE175" s="149" t="s">
        <v>2273</v>
      </c>
      <c r="AF175" s="153" t="s">
        <v>2274</v>
      </c>
      <c r="AG175" s="149" t="s">
        <v>1167</v>
      </c>
      <c r="AH175" s="153">
        <v>15606178832</v>
      </c>
      <c r="AI175" s="149" t="s">
        <v>1060</v>
      </c>
      <c r="AJ175" s="149"/>
      <c r="AK175" s="149"/>
      <c r="AL175" s="140">
        <f>L175</f>
        <v>42471</v>
      </c>
      <c r="AM175" s="142">
        <f>EDATE(AL175,36)-1</f>
        <v>43565</v>
      </c>
      <c r="AN175" s="148">
        <f ca="1">ROUND(AM175-NOW(),0)</f>
        <v>-2487</v>
      </c>
      <c r="AO175" s="149"/>
      <c r="AP175" s="139"/>
      <c r="AQ175" s="137"/>
      <c r="AR175" s="94"/>
    </row>
    <row r="176" s="87" customFormat="1" customHeight="1" spans="1:45">
      <c r="A176" s="122">
        <v>175</v>
      </c>
      <c r="B176" s="140">
        <v>42632</v>
      </c>
      <c r="C176" s="137" t="s">
        <v>1013</v>
      </c>
      <c r="D176" s="122" t="s">
        <v>1726</v>
      </c>
      <c r="E176" s="122" t="s">
        <v>1726</v>
      </c>
      <c r="F176" s="141" t="s">
        <v>2275</v>
      </c>
      <c r="G176" s="141" t="s">
        <v>1530</v>
      </c>
      <c r="H176" s="137" t="s">
        <v>1289</v>
      </c>
      <c r="I176" s="139" t="s">
        <v>1519</v>
      </c>
      <c r="J176" s="139" t="s">
        <v>1227</v>
      </c>
      <c r="K176" s="139" t="s">
        <v>227</v>
      </c>
      <c r="L176" s="142">
        <v>42508</v>
      </c>
      <c r="M176" s="139" t="s">
        <v>2157</v>
      </c>
      <c r="N176" s="181" t="s">
        <v>2276</v>
      </c>
      <c r="O176" s="139" t="s">
        <v>782</v>
      </c>
      <c r="P176" s="142" t="s">
        <v>2277</v>
      </c>
      <c r="Q176" s="143">
        <v>31</v>
      </c>
      <c r="R176" s="151" t="s">
        <v>1001</v>
      </c>
      <c r="S176" s="139" t="s">
        <v>785</v>
      </c>
      <c r="T176" s="139" t="s">
        <v>1002</v>
      </c>
      <c r="U176" s="139" t="s">
        <v>2278</v>
      </c>
      <c r="V176" s="139" t="s">
        <v>2279</v>
      </c>
      <c r="W176" s="139" t="s">
        <v>2162</v>
      </c>
      <c r="X176" s="139" t="s">
        <v>789</v>
      </c>
      <c r="Y176" s="139" t="s">
        <v>1698</v>
      </c>
      <c r="Z176" s="139" t="s">
        <v>2031</v>
      </c>
      <c r="AA176" s="152"/>
      <c r="AB176" s="153">
        <v>18143488880</v>
      </c>
      <c r="AC176" s="211" t="s">
        <v>2280</v>
      </c>
      <c r="AD176" s="149" t="s">
        <v>2281</v>
      </c>
      <c r="AE176" s="149" t="s">
        <v>2282</v>
      </c>
      <c r="AF176" s="153" t="s">
        <v>2283</v>
      </c>
      <c r="AG176" s="149" t="s">
        <v>2284</v>
      </c>
      <c r="AH176" s="153">
        <v>13282801899</v>
      </c>
      <c r="AI176" s="149" t="s">
        <v>1866</v>
      </c>
      <c r="AJ176" s="149"/>
      <c r="AK176" s="149"/>
      <c r="AL176" s="142">
        <v>42508</v>
      </c>
      <c r="AM176" s="142">
        <v>43238</v>
      </c>
      <c r="AN176" s="148"/>
      <c r="AO176" s="149"/>
      <c r="AP176" s="139"/>
      <c r="AQ176" s="137"/>
      <c r="AR176" s="85"/>
      <c r="AS176" s="85"/>
    </row>
    <row r="177" s="85" customFormat="1" customHeight="1" spans="1:45">
      <c r="A177" s="122">
        <v>176</v>
      </c>
      <c r="B177" s="140">
        <v>42633</v>
      </c>
      <c r="C177" s="137" t="s">
        <v>1013</v>
      </c>
      <c r="D177" s="122" t="s">
        <v>1726</v>
      </c>
      <c r="E177" s="122" t="s">
        <v>1726</v>
      </c>
      <c r="F177" s="141" t="s">
        <v>2285</v>
      </c>
      <c r="G177" s="141" t="s">
        <v>1530</v>
      </c>
      <c r="H177" s="141" t="s">
        <v>2110</v>
      </c>
      <c r="I177" s="139" t="s">
        <v>2286</v>
      </c>
      <c r="J177" s="139" t="s">
        <v>779</v>
      </c>
      <c r="K177" s="139" t="s">
        <v>137</v>
      </c>
      <c r="L177" s="140">
        <v>42320</v>
      </c>
      <c r="M177" s="139" t="str">
        <f ca="1" t="shared" ref="M177:M182" si="7">IF(L177="","",DATEDIF(L177,NOW(),"Y")&amp;"年"&amp;MOD(DATEDIF(L177,NOW(),"M"),12)&amp;"个月")</f>
        <v>10年2个月</v>
      </c>
      <c r="N177" s="181" t="s">
        <v>2287</v>
      </c>
      <c r="O177" s="139" t="s">
        <v>794</v>
      </c>
      <c r="P177" s="142">
        <v>30975</v>
      </c>
      <c r="Q177" s="139">
        <f ca="1">IF(N177="","",IF(AND(LEN(N177)&lt;&gt;15,LEN(N177)&lt;&gt;18),"错误",ROUNDDOWN((NOW()-P177)/365,0)))</f>
        <v>41</v>
      </c>
      <c r="R177" s="151" t="s">
        <v>1001</v>
      </c>
      <c r="S177" s="139" t="s">
        <v>785</v>
      </c>
      <c r="T177" s="139" t="s">
        <v>1002</v>
      </c>
      <c r="U177" s="139" t="s">
        <v>1276</v>
      </c>
      <c r="V177" s="139" t="s">
        <v>2288</v>
      </c>
      <c r="W177" s="139" t="s">
        <v>1005</v>
      </c>
      <c r="X177" s="139" t="s">
        <v>1006</v>
      </c>
      <c r="Y177" s="139" t="s">
        <v>2289</v>
      </c>
      <c r="Z177" s="139" t="s">
        <v>1240</v>
      </c>
      <c r="AA177" s="152">
        <v>39630</v>
      </c>
      <c r="AB177" s="185">
        <v>18861809019</v>
      </c>
      <c r="AC177" s="141" t="s">
        <v>2290</v>
      </c>
      <c r="AD177" s="186" t="s">
        <v>2291</v>
      </c>
      <c r="AE177" s="149" t="s">
        <v>2292</v>
      </c>
      <c r="AF177" s="153" t="s">
        <v>2293</v>
      </c>
      <c r="AG177" s="149" t="s">
        <v>1406</v>
      </c>
      <c r="AH177" s="153">
        <v>13839397536</v>
      </c>
      <c r="AI177" s="149" t="s">
        <v>1080</v>
      </c>
      <c r="AJ177" s="149"/>
      <c r="AK177" s="149"/>
      <c r="AL177" s="140">
        <f>L177</f>
        <v>42320</v>
      </c>
      <c r="AM177" s="142">
        <f>EDATE(AL177,36)-1</f>
        <v>43415</v>
      </c>
      <c r="AN177" s="148">
        <f ca="1">ROUND(AM177-NOW(),0)</f>
        <v>-2637</v>
      </c>
      <c r="AO177" s="149"/>
      <c r="AP177" s="139"/>
      <c r="AQ177" s="137"/>
      <c r="AR177" s="87"/>
      <c r="AS177" s="87"/>
    </row>
    <row r="178" s="87" customFormat="1" customHeight="1" spans="1:45">
      <c r="A178" s="122">
        <v>177</v>
      </c>
      <c r="B178" s="126">
        <v>42633</v>
      </c>
      <c r="C178" s="125" t="s">
        <v>1026</v>
      </c>
      <c r="D178" s="132" t="s">
        <v>2294</v>
      </c>
      <c r="E178" s="132" t="s">
        <v>1127</v>
      </c>
      <c r="F178" s="127" t="s">
        <v>2295</v>
      </c>
      <c r="G178" s="127" t="s">
        <v>1224</v>
      </c>
      <c r="H178" s="123" t="s">
        <v>2131</v>
      </c>
      <c r="I178" s="125" t="s">
        <v>27</v>
      </c>
      <c r="J178" s="125" t="s">
        <v>803</v>
      </c>
      <c r="K178" s="125" t="s">
        <v>21</v>
      </c>
      <c r="L178" s="126">
        <v>42632</v>
      </c>
      <c r="M178" s="125" t="str">
        <f ca="1" t="shared" si="7"/>
        <v>9年4个月</v>
      </c>
      <c r="N178" s="183" t="s">
        <v>2296</v>
      </c>
      <c r="O178" s="125" t="s">
        <v>782</v>
      </c>
      <c r="P178" s="128">
        <v>33675</v>
      </c>
      <c r="Q178" s="125">
        <v>24</v>
      </c>
      <c r="R178" s="155" t="s">
        <v>784</v>
      </c>
      <c r="S178" s="125" t="s">
        <v>785</v>
      </c>
      <c r="T178" s="125" t="s">
        <v>1002</v>
      </c>
      <c r="U178" s="125" t="s">
        <v>2297</v>
      </c>
      <c r="V178" s="125" t="s">
        <v>2298</v>
      </c>
      <c r="W178" s="125" t="s">
        <v>1005</v>
      </c>
      <c r="X178" s="125" t="s">
        <v>974</v>
      </c>
      <c r="Y178" s="125" t="s">
        <v>1109</v>
      </c>
      <c r="Z178" s="125" t="s">
        <v>824</v>
      </c>
      <c r="AA178" s="156" t="s">
        <v>2299</v>
      </c>
      <c r="AB178" s="177">
        <v>18600912212</v>
      </c>
      <c r="AC178" s="176" t="s">
        <v>2300</v>
      </c>
      <c r="AD178" s="178" t="s">
        <v>2301</v>
      </c>
      <c r="AE178" s="136" t="s">
        <v>2302</v>
      </c>
      <c r="AF178" s="157" t="s">
        <v>2303</v>
      </c>
      <c r="AG178" s="136" t="s">
        <v>1011</v>
      </c>
      <c r="AH178" s="157">
        <v>13953119877</v>
      </c>
      <c r="AI178" s="136" t="s">
        <v>1035</v>
      </c>
      <c r="AJ178" s="136" t="s">
        <v>110</v>
      </c>
      <c r="AK178" s="136" t="s">
        <v>2304</v>
      </c>
      <c r="AL178" s="123"/>
      <c r="AM178" s="126"/>
      <c r="AN178" s="132"/>
      <c r="AO178" s="133"/>
      <c r="AP178" s="123"/>
      <c r="AQ178" s="123"/>
    </row>
    <row r="179" s="87" customFormat="1" customHeight="1" spans="1:45">
      <c r="A179" s="122">
        <v>178</v>
      </c>
      <c r="B179" s="126">
        <v>42634</v>
      </c>
      <c r="C179" s="125" t="s">
        <v>1026</v>
      </c>
      <c r="D179" s="123" t="s">
        <v>2043</v>
      </c>
      <c r="E179" s="132" t="s">
        <v>997</v>
      </c>
      <c r="F179" s="127" t="s">
        <v>2305</v>
      </c>
      <c r="G179" s="123" t="s">
        <v>1224</v>
      </c>
      <c r="H179" s="123" t="s">
        <v>2131</v>
      </c>
      <c r="I179" s="125" t="s">
        <v>27</v>
      </c>
      <c r="J179" s="125" t="s">
        <v>803</v>
      </c>
      <c r="K179" s="125" t="s">
        <v>21</v>
      </c>
      <c r="L179" s="126">
        <v>42548</v>
      </c>
      <c r="M179" s="125" t="str">
        <f ca="1" t="shared" si="7"/>
        <v>9年7个月</v>
      </c>
      <c r="N179" s="183" t="s">
        <v>2306</v>
      </c>
      <c r="O179" s="125" t="s">
        <v>782</v>
      </c>
      <c r="P179" s="128">
        <v>35120</v>
      </c>
      <c r="Q179" s="125">
        <f ca="1">IF(N179="","",IF(AND(LEN(N179)&lt;&gt;15,LEN(N179)&lt;&gt;18),"错误",ROUNDDOWN((NOW()-P179)/365,0)))</f>
        <v>29</v>
      </c>
      <c r="R179" s="155" t="s">
        <v>784</v>
      </c>
      <c r="S179" s="125" t="s">
        <v>785</v>
      </c>
      <c r="T179" s="125" t="s">
        <v>1002</v>
      </c>
      <c r="U179" s="125" t="s">
        <v>2307</v>
      </c>
      <c r="V179" s="125" t="s">
        <v>2308</v>
      </c>
      <c r="W179" s="125" t="s">
        <v>2309</v>
      </c>
      <c r="X179" s="125" t="s">
        <v>1006</v>
      </c>
      <c r="Y179" s="125" t="s">
        <v>1109</v>
      </c>
      <c r="Z179" s="125" t="s">
        <v>824</v>
      </c>
      <c r="AA179" s="156">
        <v>43282</v>
      </c>
      <c r="AB179" s="177">
        <v>15650708280</v>
      </c>
      <c r="AC179" s="127" t="s">
        <v>2310</v>
      </c>
      <c r="AD179" s="178" t="s">
        <v>2311</v>
      </c>
      <c r="AE179" s="136" t="s">
        <v>2312</v>
      </c>
      <c r="AF179" s="157" t="s">
        <v>2313</v>
      </c>
      <c r="AG179" s="136" t="s">
        <v>1097</v>
      </c>
      <c r="AH179" s="157">
        <v>13621153431</v>
      </c>
      <c r="AI179" s="136">
        <v>0</v>
      </c>
      <c r="AJ179" s="136">
        <v>0</v>
      </c>
      <c r="AK179" s="136"/>
      <c r="AL179" s="126"/>
      <c r="AM179" s="128"/>
      <c r="AN179" s="135"/>
      <c r="AO179" s="136"/>
      <c r="AP179" s="125"/>
      <c r="AQ179" s="123"/>
    </row>
    <row r="180" s="85" customFormat="1" customHeight="1" spans="1:45">
      <c r="A180" s="122">
        <v>179</v>
      </c>
      <c r="B180" s="126">
        <v>42634</v>
      </c>
      <c r="C180" s="125" t="s">
        <v>1026</v>
      </c>
      <c r="D180" s="132" t="s">
        <v>2314</v>
      </c>
      <c r="E180" s="132" t="s">
        <v>997</v>
      </c>
      <c r="F180" s="127" t="s">
        <v>2315</v>
      </c>
      <c r="G180" s="127" t="s">
        <v>18</v>
      </c>
      <c r="H180" s="123" t="s">
        <v>1431</v>
      </c>
      <c r="I180" s="125" t="s">
        <v>27</v>
      </c>
      <c r="J180" s="125" t="s">
        <v>803</v>
      </c>
      <c r="K180" s="125" t="s">
        <v>21</v>
      </c>
      <c r="L180" s="126">
        <v>42552</v>
      </c>
      <c r="M180" s="125" t="str">
        <f ca="1" t="shared" si="7"/>
        <v>9年6个月</v>
      </c>
      <c r="N180" s="183" t="s">
        <v>2316</v>
      </c>
      <c r="O180" s="125" t="s">
        <v>782</v>
      </c>
      <c r="P180" s="128">
        <v>34680</v>
      </c>
      <c r="Q180" s="125">
        <f ca="1">IF(N180="","",IF(AND(LEN(N180)&lt;&gt;15,LEN(N180)&lt;&gt;18),"错误",ROUNDDOWN((NOW()-P180)/365,0)))</f>
        <v>31</v>
      </c>
      <c r="R180" s="155" t="s">
        <v>784</v>
      </c>
      <c r="S180" s="125" t="s">
        <v>785</v>
      </c>
      <c r="T180" s="125" t="s">
        <v>1002</v>
      </c>
      <c r="U180" s="125" t="s">
        <v>2317</v>
      </c>
      <c r="V180" s="125" t="s">
        <v>1941</v>
      </c>
      <c r="W180" s="125" t="s">
        <v>1005</v>
      </c>
      <c r="X180" s="125" t="s">
        <v>1006</v>
      </c>
      <c r="Y180" s="125" t="s">
        <v>1031</v>
      </c>
      <c r="Z180" s="125" t="s">
        <v>2031</v>
      </c>
      <c r="AA180" s="156">
        <v>42887</v>
      </c>
      <c r="AB180" s="177">
        <v>13021174210</v>
      </c>
      <c r="AC180" s="127" t="s">
        <v>2318</v>
      </c>
      <c r="AD180" s="178" t="s">
        <v>2319</v>
      </c>
      <c r="AE180" s="136" t="s">
        <v>2320</v>
      </c>
      <c r="AF180" s="157" t="s">
        <v>2321</v>
      </c>
      <c r="AG180" s="136" t="s">
        <v>2322</v>
      </c>
      <c r="AH180" s="157">
        <v>13021155543</v>
      </c>
      <c r="AI180" s="136" t="s">
        <v>1087</v>
      </c>
      <c r="AJ180" s="136">
        <v>0</v>
      </c>
      <c r="AK180" s="136"/>
      <c r="AL180" s="126"/>
      <c r="AM180" s="128"/>
      <c r="AN180" s="135"/>
      <c r="AO180" s="136"/>
      <c r="AP180" s="125"/>
      <c r="AQ180" s="123"/>
    </row>
    <row r="181" s="87" customFormat="1" customHeight="1" spans="1:45">
      <c r="A181" s="122">
        <v>180</v>
      </c>
      <c r="B181" s="140">
        <v>42636</v>
      </c>
      <c r="C181" s="137" t="s">
        <v>1013</v>
      </c>
      <c r="D181" s="122" t="s">
        <v>2323</v>
      </c>
      <c r="E181" s="122" t="s">
        <v>1015</v>
      </c>
      <c r="F181" s="141" t="s">
        <v>2324</v>
      </c>
      <c r="G181" s="141" t="s">
        <v>1224</v>
      </c>
      <c r="H181" s="137" t="s">
        <v>2131</v>
      </c>
      <c r="I181" s="139" t="s">
        <v>2325</v>
      </c>
      <c r="J181" s="139" t="s">
        <v>803</v>
      </c>
      <c r="K181" s="139" t="s">
        <v>21</v>
      </c>
      <c r="L181" s="140">
        <v>42422</v>
      </c>
      <c r="M181" s="139" t="str">
        <f ca="1" t="shared" si="7"/>
        <v>9年11个月</v>
      </c>
      <c r="N181" s="181" t="s">
        <v>2326</v>
      </c>
      <c r="O181" s="139" t="s">
        <v>782</v>
      </c>
      <c r="P181" s="142">
        <v>29742</v>
      </c>
      <c r="Q181" s="139">
        <f ca="1">IF(N181="","",IF(AND(LEN(N181)&lt;&gt;15,LEN(N181)&lt;&gt;18),"错误",ROUNDDOWN((NOW()-P181)/365,0)))</f>
        <v>44</v>
      </c>
      <c r="R181" s="151" t="s">
        <v>1001</v>
      </c>
      <c r="S181" s="139" t="s">
        <v>879</v>
      </c>
      <c r="T181" s="139" t="s">
        <v>1002</v>
      </c>
      <c r="U181" s="139" t="s">
        <v>2327</v>
      </c>
      <c r="V181" s="139" t="s">
        <v>2328</v>
      </c>
      <c r="W181" s="139" t="s">
        <v>1005</v>
      </c>
      <c r="X181" s="139" t="s">
        <v>974</v>
      </c>
      <c r="Y181" s="139" t="s">
        <v>1599</v>
      </c>
      <c r="Z181" s="139" t="s">
        <v>1493</v>
      </c>
      <c r="AA181" s="152">
        <v>38808</v>
      </c>
      <c r="AB181" s="185">
        <v>13810566469</v>
      </c>
      <c r="AC181" s="141" t="s">
        <v>2329</v>
      </c>
      <c r="AD181" s="186" t="s">
        <v>2330</v>
      </c>
      <c r="AE181" s="149" t="s">
        <v>2328</v>
      </c>
      <c r="AF181" s="153" t="s">
        <v>2331</v>
      </c>
      <c r="AG181" s="149" t="s">
        <v>2332</v>
      </c>
      <c r="AH181" s="153">
        <v>13810737729</v>
      </c>
      <c r="AI181" s="149"/>
      <c r="AJ181" s="149"/>
      <c r="AK181" s="149"/>
      <c r="AL181" s="140">
        <f>L181</f>
        <v>42422</v>
      </c>
      <c r="AM181" s="142">
        <f>EDATE(AL181,36)-1</f>
        <v>43517</v>
      </c>
      <c r="AN181" s="148">
        <f ca="1">ROUND(AM181-NOW(),0)</f>
        <v>-2535</v>
      </c>
      <c r="AO181" s="149"/>
      <c r="AP181" s="139"/>
      <c r="AQ181" s="137"/>
    </row>
    <row r="182" s="87" customFormat="1" customHeight="1" spans="1:45">
      <c r="A182" s="122">
        <v>181</v>
      </c>
      <c r="B182" s="214">
        <v>42636</v>
      </c>
      <c r="C182" s="125" t="s">
        <v>1026</v>
      </c>
      <c r="D182" s="132" t="s">
        <v>2043</v>
      </c>
      <c r="E182" s="132" t="s">
        <v>997</v>
      </c>
      <c r="F182" s="127" t="s">
        <v>2333</v>
      </c>
      <c r="G182" s="127" t="s">
        <v>18</v>
      </c>
      <c r="H182" s="123" t="s">
        <v>1062</v>
      </c>
      <c r="I182" s="125" t="s">
        <v>27</v>
      </c>
      <c r="J182" s="125" t="s">
        <v>803</v>
      </c>
      <c r="K182" s="125" t="s">
        <v>21</v>
      </c>
      <c r="L182" s="126">
        <v>42536</v>
      </c>
      <c r="M182" s="125" t="str">
        <f ca="1" t="shared" si="7"/>
        <v>9年7个月</v>
      </c>
      <c r="N182" s="183" t="s">
        <v>2334</v>
      </c>
      <c r="O182" s="125" t="s">
        <v>782</v>
      </c>
      <c r="P182" s="128">
        <v>33500</v>
      </c>
      <c r="Q182" s="125">
        <f ca="1">IF(N182="","",IF(AND(LEN(N182)&lt;&gt;15,LEN(N182)&lt;&gt;18),"错误",ROUNDDOWN((NOW()-P182)/365,0)))</f>
        <v>34</v>
      </c>
      <c r="R182" s="155" t="s">
        <v>1001</v>
      </c>
      <c r="S182" s="125" t="s">
        <v>785</v>
      </c>
      <c r="T182" s="125" t="s">
        <v>1002</v>
      </c>
      <c r="U182" s="125" t="s">
        <v>2335</v>
      </c>
      <c r="V182" s="125" t="s">
        <v>1411</v>
      </c>
      <c r="W182" s="125" t="s">
        <v>1005</v>
      </c>
      <c r="X182" s="125" t="s">
        <v>974</v>
      </c>
      <c r="Y182" s="125" t="s">
        <v>1031</v>
      </c>
      <c r="Z182" s="125" t="s">
        <v>824</v>
      </c>
      <c r="AA182" s="156">
        <v>42917</v>
      </c>
      <c r="AB182" s="177">
        <v>13141319194</v>
      </c>
      <c r="AC182" s="127" t="s">
        <v>2336</v>
      </c>
      <c r="AD182" s="178" t="s">
        <v>2337</v>
      </c>
      <c r="AE182" s="136" t="s">
        <v>2338</v>
      </c>
      <c r="AF182" s="157" t="s">
        <v>2339</v>
      </c>
      <c r="AG182" s="136" t="s">
        <v>1011</v>
      </c>
      <c r="AH182" s="157">
        <v>13487112557</v>
      </c>
      <c r="AI182" s="136" t="s">
        <v>1035</v>
      </c>
      <c r="AJ182" s="136" t="s">
        <v>147</v>
      </c>
      <c r="AK182" s="136"/>
      <c r="AL182" s="126"/>
      <c r="AM182" s="128"/>
      <c r="AN182" s="135"/>
      <c r="AO182" s="136"/>
      <c r="AP182" s="125"/>
      <c r="AQ182" s="215"/>
    </row>
    <row r="183" s="85" customFormat="1" customHeight="1" spans="1:45">
      <c r="A183" s="122">
        <v>182</v>
      </c>
      <c r="B183" s="126">
        <v>42636</v>
      </c>
      <c r="C183" s="125" t="s">
        <v>1026</v>
      </c>
      <c r="D183" s="132" t="s">
        <v>2043</v>
      </c>
      <c r="E183" s="132" t="s">
        <v>997</v>
      </c>
      <c r="F183" s="127" t="s">
        <v>2340</v>
      </c>
      <c r="G183" s="123" t="s">
        <v>1224</v>
      </c>
      <c r="H183" s="123" t="s">
        <v>2131</v>
      </c>
      <c r="I183" s="125" t="s">
        <v>27</v>
      </c>
      <c r="J183" s="125" t="s">
        <v>803</v>
      </c>
      <c r="K183" s="125" t="s">
        <v>21</v>
      </c>
      <c r="L183" s="126">
        <v>42550</v>
      </c>
      <c r="M183" s="125" t="s">
        <v>2157</v>
      </c>
      <c r="N183" s="183" t="s">
        <v>2341</v>
      </c>
      <c r="O183" s="125" t="s">
        <v>782</v>
      </c>
      <c r="P183" s="128">
        <v>35114</v>
      </c>
      <c r="Q183" s="125">
        <v>20</v>
      </c>
      <c r="R183" s="155" t="s">
        <v>1001</v>
      </c>
      <c r="S183" s="125" t="s">
        <v>785</v>
      </c>
      <c r="T183" s="125" t="s">
        <v>1002</v>
      </c>
      <c r="U183" s="125" t="s">
        <v>2342</v>
      </c>
      <c r="V183" s="125" t="s">
        <v>2342</v>
      </c>
      <c r="W183" s="125" t="s">
        <v>1005</v>
      </c>
      <c r="X183" s="125" t="s">
        <v>1006</v>
      </c>
      <c r="Y183" s="125" t="s">
        <v>2343</v>
      </c>
      <c r="Z183" s="125" t="s">
        <v>2344</v>
      </c>
      <c r="AA183" s="156">
        <v>43282</v>
      </c>
      <c r="AB183" s="177">
        <v>18310576552</v>
      </c>
      <c r="AC183" s="127" t="s">
        <v>2345</v>
      </c>
      <c r="AD183" s="178" t="s">
        <v>2346</v>
      </c>
      <c r="AE183" s="136" t="s">
        <v>2347</v>
      </c>
      <c r="AF183" s="157" t="s">
        <v>2348</v>
      </c>
      <c r="AG183" s="136" t="s">
        <v>1046</v>
      </c>
      <c r="AH183" s="157">
        <v>13507738326</v>
      </c>
      <c r="AI183" s="136" t="s">
        <v>1087</v>
      </c>
      <c r="AJ183" s="136">
        <v>0</v>
      </c>
      <c r="AK183" s="136"/>
      <c r="AL183" s="126"/>
      <c r="AM183" s="128"/>
      <c r="AN183" s="135"/>
      <c r="AO183" s="136"/>
      <c r="AP183" s="125"/>
      <c r="AQ183" s="123"/>
    </row>
    <row r="184" s="87" customFormat="1" customHeight="1" spans="1:45">
      <c r="A184" s="122">
        <v>183</v>
      </c>
      <c r="B184" s="126">
        <v>42639</v>
      </c>
      <c r="C184" s="125" t="s">
        <v>1026</v>
      </c>
      <c r="D184" s="132" t="s">
        <v>2043</v>
      </c>
      <c r="E184" s="132" t="s">
        <v>997</v>
      </c>
      <c r="F184" s="127" t="s">
        <v>2349</v>
      </c>
      <c r="G184" s="123" t="s">
        <v>1566</v>
      </c>
      <c r="H184" s="123" t="s">
        <v>2350</v>
      </c>
      <c r="I184" s="125" t="s">
        <v>27</v>
      </c>
      <c r="J184" s="125" t="s">
        <v>803</v>
      </c>
      <c r="K184" s="125" t="s">
        <v>21</v>
      </c>
      <c r="L184" s="126">
        <v>42510</v>
      </c>
      <c r="M184" s="126" t="str">
        <f ca="1">IF(L184="","",DATEDIF(L184,NOW(),"Y")&amp;"年"&amp;MOD(DATEDIF(L184,NOW(),"M"),12)&amp;"个月")</f>
        <v>9年8个月</v>
      </c>
      <c r="N184" s="183" t="s">
        <v>2351</v>
      </c>
      <c r="O184" s="125" t="s">
        <v>782</v>
      </c>
      <c r="P184" s="128">
        <v>34064</v>
      </c>
      <c r="Q184" s="125">
        <f ca="1">IF(N184="","",IF(AND(LEN(N184)&lt;&gt;15,LEN(N184)&lt;&gt;18),"错误",ROUNDDOWN((NOW()-P184)/365,0)))</f>
        <v>32</v>
      </c>
      <c r="R184" s="155" t="s">
        <v>1064</v>
      </c>
      <c r="S184" s="125" t="s">
        <v>785</v>
      </c>
      <c r="T184" s="125" t="s">
        <v>1002</v>
      </c>
      <c r="U184" s="125" t="s">
        <v>2352</v>
      </c>
      <c r="V184" s="125" t="s">
        <v>2353</v>
      </c>
      <c r="W184" s="125" t="s">
        <v>1054</v>
      </c>
      <c r="X184" s="125" t="s">
        <v>1006</v>
      </c>
      <c r="Y184" s="125" t="s">
        <v>2354</v>
      </c>
      <c r="Z184" s="125" t="s">
        <v>2355</v>
      </c>
      <c r="AA184" s="156">
        <v>42917</v>
      </c>
      <c r="AB184" s="177">
        <v>18910817351</v>
      </c>
      <c r="AC184" s="127" t="s">
        <v>2356</v>
      </c>
      <c r="AD184" s="178" t="s">
        <v>2357</v>
      </c>
      <c r="AE184" s="136" t="s">
        <v>2358</v>
      </c>
      <c r="AF184" s="157" t="s">
        <v>2359</v>
      </c>
      <c r="AG184" s="136" t="s">
        <v>1672</v>
      </c>
      <c r="AH184" s="157">
        <v>18287527686</v>
      </c>
      <c r="AI184" s="136" t="s">
        <v>1060</v>
      </c>
      <c r="AJ184" s="136">
        <v>0</v>
      </c>
      <c r="AK184" s="136"/>
      <c r="AL184" s="126"/>
      <c r="AM184" s="128"/>
      <c r="AN184" s="135"/>
      <c r="AO184" s="136"/>
      <c r="AP184" s="125"/>
      <c r="AQ184" s="123"/>
    </row>
    <row r="185" s="87" customFormat="1" customHeight="1" spans="1:45">
      <c r="A185" s="122">
        <v>184</v>
      </c>
      <c r="B185" s="140">
        <v>42641</v>
      </c>
      <c r="C185" s="216" t="s">
        <v>1026</v>
      </c>
      <c r="D185" s="122" t="s">
        <v>2360</v>
      </c>
      <c r="E185" s="122" t="s">
        <v>1115</v>
      </c>
      <c r="F185" s="141" t="s">
        <v>2361</v>
      </c>
      <c r="G185" s="141" t="s">
        <v>1224</v>
      </c>
      <c r="H185" s="137" t="s">
        <v>2362</v>
      </c>
      <c r="I185" s="139" t="s">
        <v>2363</v>
      </c>
      <c r="J185" s="139" t="s">
        <v>803</v>
      </c>
      <c r="K185" s="139" t="s">
        <v>21</v>
      </c>
      <c r="L185" s="140">
        <v>42292</v>
      </c>
      <c r="M185" s="139" t="str">
        <f ca="1">IF(L185="","",DATEDIF(L185,NOW(),"Y")&amp;"年"&amp;MOD(DATEDIF(L185,NOW(),"M"),12)&amp;"个月")</f>
        <v>10年3个月</v>
      </c>
      <c r="N185" s="181" t="s">
        <v>2364</v>
      </c>
      <c r="O185" s="139" t="s">
        <v>794</v>
      </c>
      <c r="P185" s="142">
        <v>32572</v>
      </c>
      <c r="Q185" s="139">
        <f ca="1">IF(N185="","",IF(AND(LEN(N185)&lt;&gt;15,LEN(N185)&lt;&gt;18),"错误",ROUNDDOWN((NOW()-P185)/365,0)))</f>
        <v>36</v>
      </c>
      <c r="R185" s="151" t="s">
        <v>784</v>
      </c>
      <c r="S185" s="139" t="s">
        <v>785</v>
      </c>
      <c r="T185" s="139" t="s">
        <v>1002</v>
      </c>
      <c r="U185" s="139" t="s">
        <v>2365</v>
      </c>
      <c r="V185" s="139" t="s">
        <v>2366</v>
      </c>
      <c r="W185" s="139" t="s">
        <v>1005</v>
      </c>
      <c r="X185" s="139" t="s">
        <v>1006</v>
      </c>
      <c r="Y185" s="139" t="s">
        <v>2367</v>
      </c>
      <c r="Z185" s="139" t="s">
        <v>2368</v>
      </c>
      <c r="AA185" s="152">
        <v>41456</v>
      </c>
      <c r="AB185" s="184">
        <v>18612538065</v>
      </c>
      <c r="AC185" s="122" t="s">
        <v>2369</v>
      </c>
      <c r="AD185" s="186" t="s">
        <v>2370</v>
      </c>
      <c r="AE185" s="149" t="s">
        <v>2371</v>
      </c>
      <c r="AF185" s="153" t="s">
        <v>1518</v>
      </c>
      <c r="AG185" s="149" t="s">
        <v>1974</v>
      </c>
      <c r="AH185" s="153">
        <v>18611027359</v>
      </c>
      <c r="AI185" s="149" t="s">
        <v>1080</v>
      </c>
      <c r="AJ185" s="149"/>
      <c r="AK185" s="149"/>
      <c r="AL185" s="140">
        <f>L185</f>
        <v>42292</v>
      </c>
      <c r="AM185" s="142">
        <f>EDATE(AL185,36)-1</f>
        <v>43387</v>
      </c>
      <c r="AN185" s="148">
        <f ca="1">ROUND(AM185-NOW(),0)</f>
        <v>-2665</v>
      </c>
      <c r="AO185" s="149"/>
      <c r="AP185" s="139"/>
      <c r="AQ185" s="137"/>
    </row>
    <row r="186" s="87" customFormat="1" customHeight="1" spans="1:45">
      <c r="A186" s="122">
        <v>185</v>
      </c>
      <c r="B186" s="126">
        <v>42641</v>
      </c>
      <c r="C186" s="124" t="s">
        <v>1026</v>
      </c>
      <c r="D186" s="132" t="s">
        <v>2372</v>
      </c>
      <c r="E186" s="132" t="s">
        <v>997</v>
      </c>
      <c r="F186" s="127" t="s">
        <v>2373</v>
      </c>
      <c r="G186" s="123" t="s">
        <v>1224</v>
      </c>
      <c r="H186" s="123" t="s">
        <v>2077</v>
      </c>
      <c r="I186" s="125" t="s">
        <v>27</v>
      </c>
      <c r="J186" s="125" t="s">
        <v>803</v>
      </c>
      <c r="K186" s="125" t="s">
        <v>21</v>
      </c>
      <c r="L186" s="126">
        <v>42555</v>
      </c>
      <c r="M186" s="126" t="str">
        <f ca="1">IF(L186="","",DATEDIF(L186,NOW(),"Y")&amp;"年"&amp;MOD(DATEDIF(L186,NOW(),"M"),12)&amp;"个月")</f>
        <v>9年6个月</v>
      </c>
      <c r="N186" s="183" t="s">
        <v>2374</v>
      </c>
      <c r="O186" s="125" t="s">
        <v>782</v>
      </c>
      <c r="P186" s="128">
        <v>34883</v>
      </c>
      <c r="Q186" s="125">
        <f ca="1">IF(N186="","",IF(AND(LEN(N186)&lt;&gt;15,LEN(N186)&lt;&gt;18),"错误",ROUNDDOWN((NOW()-P186)/365,0)))</f>
        <v>30</v>
      </c>
      <c r="R186" s="155" t="s">
        <v>784</v>
      </c>
      <c r="S186" s="125" t="s">
        <v>879</v>
      </c>
      <c r="T186" s="125" t="s">
        <v>1002</v>
      </c>
      <c r="U186" s="125" t="s">
        <v>2375</v>
      </c>
      <c r="V186" s="125" t="s">
        <v>2376</v>
      </c>
      <c r="W186" s="125" t="s">
        <v>1005</v>
      </c>
      <c r="X186" s="125" t="s">
        <v>1006</v>
      </c>
      <c r="Y186" s="125" t="s">
        <v>1456</v>
      </c>
      <c r="Z186" s="125" t="s">
        <v>824</v>
      </c>
      <c r="AA186" s="156">
        <v>42917</v>
      </c>
      <c r="AB186" s="177">
        <v>18190706525</v>
      </c>
      <c r="AC186" s="217" t="s">
        <v>2377</v>
      </c>
      <c r="AD186" s="178" t="s">
        <v>2378</v>
      </c>
      <c r="AE186" s="136" t="s">
        <v>2379</v>
      </c>
      <c r="AF186" s="157" t="s">
        <v>2380</v>
      </c>
      <c r="AG186" s="136" t="s">
        <v>1046</v>
      </c>
      <c r="AH186" s="157">
        <v>13980004499</v>
      </c>
      <c r="AI186" s="136" t="s">
        <v>1087</v>
      </c>
      <c r="AJ186" s="136">
        <v>0</v>
      </c>
      <c r="AK186" s="136"/>
      <c r="AL186" s="218"/>
      <c r="AM186" s="219"/>
      <c r="AN186" s="220"/>
      <c r="AO186" s="173"/>
      <c r="AP186" s="125"/>
      <c r="AQ186" s="123"/>
    </row>
    <row r="187" s="85" customFormat="1" customHeight="1" spans="1:45">
      <c r="A187" s="122">
        <v>186</v>
      </c>
      <c r="B187" s="126">
        <v>42641</v>
      </c>
      <c r="C187" s="124" t="s">
        <v>1026</v>
      </c>
      <c r="D187" s="132" t="s">
        <v>2381</v>
      </c>
      <c r="E187" s="132" t="s">
        <v>1396</v>
      </c>
      <c r="F187" s="127" t="s">
        <v>2382</v>
      </c>
      <c r="G187" s="127" t="s">
        <v>1772</v>
      </c>
      <c r="H187" s="123" t="s">
        <v>1856</v>
      </c>
      <c r="I187" s="125" t="s">
        <v>27</v>
      </c>
      <c r="J187" s="125" t="s">
        <v>803</v>
      </c>
      <c r="K187" s="125" t="s">
        <v>21</v>
      </c>
      <c r="L187" s="126">
        <v>42555</v>
      </c>
      <c r="M187" s="125" t="str">
        <f ca="1">IF(L187="","",DATEDIF(L187,NOW(),"Y")&amp;"年"&amp;MOD(DATEDIF(L187,NOW(),"M"),12)&amp;"个月")</f>
        <v>9年6个月</v>
      </c>
      <c r="N187" s="183" t="s">
        <v>2383</v>
      </c>
      <c r="O187" s="125" t="s">
        <v>782</v>
      </c>
      <c r="P187" s="128">
        <v>34566</v>
      </c>
      <c r="Q187" s="125">
        <f ca="1">IF(N187="","",IF(AND(LEN(N187)&lt;&gt;15,LEN(N187)&lt;&gt;18),"错误",ROUNDDOWN((NOW()-P187)/365,0)))</f>
        <v>31</v>
      </c>
      <c r="R187" s="155" t="s">
        <v>1001</v>
      </c>
      <c r="S187" s="125" t="s">
        <v>785</v>
      </c>
      <c r="T187" s="125" t="s">
        <v>1002</v>
      </c>
      <c r="U187" s="125" t="s">
        <v>1830</v>
      </c>
      <c r="V187" s="125" t="s">
        <v>2384</v>
      </c>
      <c r="W187" s="125" t="s">
        <v>1005</v>
      </c>
      <c r="X187" s="125" t="s">
        <v>1006</v>
      </c>
      <c r="Y187" s="125" t="s">
        <v>2385</v>
      </c>
      <c r="Z187" s="125" t="s">
        <v>2386</v>
      </c>
      <c r="AA187" s="156">
        <v>42917</v>
      </c>
      <c r="AB187" s="177">
        <v>18621799636</v>
      </c>
      <c r="AC187" s="217" t="s">
        <v>2387</v>
      </c>
      <c r="AD187" s="178" t="s">
        <v>2388</v>
      </c>
      <c r="AE187" s="136" t="s">
        <v>2384</v>
      </c>
      <c r="AF187" s="157" t="s">
        <v>2389</v>
      </c>
      <c r="AG187" s="136" t="s">
        <v>1097</v>
      </c>
      <c r="AH187" s="157">
        <v>84077260</v>
      </c>
      <c r="AI187" s="136" t="s">
        <v>1035</v>
      </c>
      <c r="AJ187" s="136" t="s">
        <v>57</v>
      </c>
      <c r="AK187" s="136"/>
      <c r="AL187" s="126"/>
      <c r="AM187" s="128"/>
      <c r="AN187" s="135"/>
      <c r="AO187" s="136"/>
      <c r="AP187" s="125"/>
      <c r="AQ187" s="123"/>
      <c r="AR187" s="94"/>
    </row>
    <row r="188" s="87" customFormat="1" customHeight="1" spans="1:45">
      <c r="A188" s="122">
        <v>187</v>
      </c>
      <c r="B188" s="126">
        <v>42642</v>
      </c>
      <c r="C188" s="221" t="s">
        <v>1026</v>
      </c>
      <c r="D188" s="132" t="s">
        <v>2390</v>
      </c>
      <c r="E188" s="132" t="s">
        <v>997</v>
      </c>
      <c r="F188" s="127" t="s">
        <v>2391</v>
      </c>
      <c r="G188" s="127" t="s">
        <v>1772</v>
      </c>
      <c r="H188" s="123" t="s">
        <v>1856</v>
      </c>
      <c r="I188" s="125" t="s">
        <v>27</v>
      </c>
      <c r="J188" s="125" t="s">
        <v>803</v>
      </c>
      <c r="K188" s="125" t="s">
        <v>21</v>
      </c>
      <c r="L188" s="126">
        <v>42543</v>
      </c>
      <c r="M188" s="125" t="str">
        <f ca="1">IF(L188="","",DATEDIF(L188,NOW(),"Y")&amp;"年"&amp;MOD(DATEDIF(L188,NOW(),"M"),12)&amp;"个月")</f>
        <v>9年7个月</v>
      </c>
      <c r="N188" s="183" t="s">
        <v>2392</v>
      </c>
      <c r="O188" s="125" t="s">
        <v>782</v>
      </c>
      <c r="P188" s="128">
        <v>35303</v>
      </c>
      <c r="Q188" s="125">
        <f ca="1">IF(N188="","",IF(AND(LEN(N188)&lt;&gt;15,LEN(N188)&lt;&gt;18),"错误",ROUNDDOWN((NOW()-P188)/365,0)))</f>
        <v>29</v>
      </c>
      <c r="R188" s="155" t="s">
        <v>1001</v>
      </c>
      <c r="S188" s="125" t="s">
        <v>785</v>
      </c>
      <c r="T188" s="125" t="s">
        <v>1002</v>
      </c>
      <c r="U188" s="125" t="s">
        <v>2393</v>
      </c>
      <c r="V188" s="125" t="s">
        <v>2394</v>
      </c>
      <c r="W188" s="125" t="s">
        <v>1005</v>
      </c>
      <c r="X188" s="125" t="s">
        <v>1006</v>
      </c>
      <c r="Y188" s="125" t="s">
        <v>2057</v>
      </c>
      <c r="Z188" s="125" t="s">
        <v>1056</v>
      </c>
      <c r="AA188" s="156">
        <v>43282</v>
      </c>
      <c r="AB188" s="177">
        <v>13701660995</v>
      </c>
      <c r="AC188" s="127" t="s">
        <v>2395</v>
      </c>
      <c r="AD188" s="178" t="s">
        <v>2396</v>
      </c>
      <c r="AE188" s="136" t="s">
        <v>2397</v>
      </c>
      <c r="AF188" s="157" t="s">
        <v>2398</v>
      </c>
      <c r="AG188" s="136" t="s">
        <v>1011</v>
      </c>
      <c r="AH188" s="157">
        <v>13817870630</v>
      </c>
      <c r="AI188" s="136" t="s">
        <v>1035</v>
      </c>
      <c r="AJ188" s="136" t="s">
        <v>236</v>
      </c>
      <c r="AK188" s="136"/>
      <c r="AL188" s="126"/>
      <c r="AM188" s="128"/>
      <c r="AN188" s="135"/>
      <c r="AO188" s="136"/>
      <c r="AP188" s="125"/>
      <c r="AQ188" s="123"/>
    </row>
    <row r="189" s="87" customFormat="1" customHeight="1" spans="1:45">
      <c r="A189" s="122">
        <v>188</v>
      </c>
      <c r="B189" s="140">
        <v>42643</v>
      </c>
      <c r="C189" s="137" t="s">
        <v>1013</v>
      </c>
      <c r="D189" s="122" t="s">
        <v>1726</v>
      </c>
      <c r="E189" s="122" t="s">
        <v>1726</v>
      </c>
      <c r="F189" s="141" t="s">
        <v>2399</v>
      </c>
      <c r="G189" s="141" t="s">
        <v>1530</v>
      </c>
      <c r="H189" s="137" t="s">
        <v>1386</v>
      </c>
      <c r="I189" s="139" t="s">
        <v>2400</v>
      </c>
      <c r="J189" s="139" t="s">
        <v>1227</v>
      </c>
      <c r="K189" s="139" t="s">
        <v>227</v>
      </c>
      <c r="L189" s="142">
        <v>42285</v>
      </c>
      <c r="M189" s="139" t="s">
        <v>2229</v>
      </c>
      <c r="N189" s="181" t="s">
        <v>2401</v>
      </c>
      <c r="O189" s="139" t="s">
        <v>794</v>
      </c>
      <c r="P189" s="142" t="s">
        <v>2402</v>
      </c>
      <c r="Q189" s="143">
        <v>35</v>
      </c>
      <c r="R189" s="151" t="s">
        <v>1001</v>
      </c>
      <c r="S189" s="139" t="s">
        <v>879</v>
      </c>
      <c r="T189" s="139" t="s">
        <v>1292</v>
      </c>
      <c r="U189" s="139" t="s">
        <v>2403</v>
      </c>
      <c r="V189" s="139" t="s">
        <v>2404</v>
      </c>
      <c r="W189" s="139" t="s">
        <v>1371</v>
      </c>
      <c r="X189" s="139" t="s">
        <v>789</v>
      </c>
      <c r="Y189" s="139" t="s">
        <v>1698</v>
      </c>
      <c r="Z189" s="139" t="s">
        <v>2405</v>
      </c>
      <c r="AA189" s="152">
        <v>38139</v>
      </c>
      <c r="AB189" s="143" t="s">
        <v>2406</v>
      </c>
      <c r="AC189" s="211" t="s">
        <v>2407</v>
      </c>
      <c r="AD189" s="149"/>
      <c r="AE189" s="149" t="s">
        <v>2408</v>
      </c>
      <c r="AF189" s="153"/>
      <c r="AG189" s="149"/>
      <c r="AH189" s="153"/>
      <c r="AI189" s="149"/>
      <c r="AJ189" s="149"/>
      <c r="AK189" s="149"/>
      <c r="AL189" s="142">
        <v>42285</v>
      </c>
      <c r="AM189" s="142">
        <v>43015</v>
      </c>
      <c r="AN189" s="148"/>
      <c r="AO189" s="149"/>
      <c r="AP189" s="139"/>
      <c r="AQ189" s="137"/>
    </row>
    <row r="190" s="85" customFormat="1" customHeight="1" spans="1:45">
      <c r="A190" s="122">
        <v>189</v>
      </c>
      <c r="B190" s="126">
        <v>42643</v>
      </c>
      <c r="C190" s="125" t="s">
        <v>1026</v>
      </c>
      <c r="D190" s="132" t="s">
        <v>2043</v>
      </c>
      <c r="E190" s="132" t="s">
        <v>997</v>
      </c>
      <c r="F190" s="127" t="s">
        <v>2409</v>
      </c>
      <c r="G190" s="127" t="s">
        <v>480</v>
      </c>
      <c r="H190" s="123" t="s">
        <v>1431</v>
      </c>
      <c r="I190" s="125" t="s">
        <v>27</v>
      </c>
      <c r="J190" s="125" t="s">
        <v>803</v>
      </c>
      <c r="K190" s="125" t="s">
        <v>21</v>
      </c>
      <c r="L190" s="126">
        <v>42620</v>
      </c>
      <c r="M190" s="125" t="str">
        <f ca="1" t="shared" ref="M190:M208" si="8">IF(L190="","",DATEDIF(L190,NOW(),"Y")&amp;"年"&amp;MOD(DATEDIF(L190,NOW(),"M"),12)&amp;"个月")</f>
        <v>9年4个月</v>
      </c>
      <c r="N190" s="183" t="s">
        <v>2410</v>
      </c>
      <c r="O190" s="125" t="s">
        <v>782</v>
      </c>
      <c r="P190" s="128">
        <v>34944</v>
      </c>
      <c r="Q190" s="125">
        <v>21</v>
      </c>
      <c r="R190" s="155" t="s">
        <v>2411</v>
      </c>
      <c r="S190" s="125" t="s">
        <v>785</v>
      </c>
      <c r="T190" s="125" t="s">
        <v>1002</v>
      </c>
      <c r="U190" s="125" t="s">
        <v>2412</v>
      </c>
      <c r="V190" s="125" t="s">
        <v>2413</v>
      </c>
      <c r="W190" s="125" t="s">
        <v>1005</v>
      </c>
      <c r="X190" s="125" t="s">
        <v>1006</v>
      </c>
      <c r="Y190" s="125" t="s">
        <v>1109</v>
      </c>
      <c r="Z190" s="125" t="s">
        <v>1266</v>
      </c>
      <c r="AA190" s="156">
        <v>42887</v>
      </c>
      <c r="AB190" s="176">
        <v>18612484421</v>
      </c>
      <c r="AC190" s="176" t="s">
        <v>2414</v>
      </c>
      <c r="AD190" s="178" t="s">
        <v>2415</v>
      </c>
      <c r="AE190" s="136" t="s">
        <v>2416</v>
      </c>
      <c r="AF190" s="157" t="s">
        <v>2417</v>
      </c>
      <c r="AG190" s="136" t="s">
        <v>1974</v>
      </c>
      <c r="AH190" s="157">
        <v>18612921177</v>
      </c>
      <c r="AI190" s="136" t="s">
        <v>1035</v>
      </c>
      <c r="AJ190" s="136" t="s">
        <v>279</v>
      </c>
      <c r="AK190" s="136">
        <v>0</v>
      </c>
      <c r="AL190" s="126"/>
      <c r="AM190" s="128"/>
      <c r="AN190" s="135"/>
      <c r="AO190" s="136"/>
      <c r="AP190" s="125"/>
      <c r="AQ190" s="123"/>
    </row>
    <row r="191" s="86" customFormat="1" customHeight="1" spans="1:45">
      <c r="A191" s="122">
        <v>190</v>
      </c>
      <c r="B191" s="126">
        <v>42651</v>
      </c>
      <c r="C191" s="125" t="s">
        <v>1026</v>
      </c>
      <c r="D191" s="132" t="s">
        <v>2043</v>
      </c>
      <c r="E191" s="132" t="s">
        <v>997</v>
      </c>
      <c r="F191" s="127" t="s">
        <v>2418</v>
      </c>
      <c r="G191" s="127" t="s">
        <v>18</v>
      </c>
      <c r="H191" s="123" t="s">
        <v>1409</v>
      </c>
      <c r="I191" s="125" t="s">
        <v>27</v>
      </c>
      <c r="J191" s="125" t="s">
        <v>803</v>
      </c>
      <c r="K191" s="125" t="s">
        <v>21</v>
      </c>
      <c r="L191" s="126">
        <v>42548</v>
      </c>
      <c r="M191" s="125" t="str">
        <f ca="1" t="shared" si="8"/>
        <v>9年7个月</v>
      </c>
      <c r="N191" s="183" t="s">
        <v>2419</v>
      </c>
      <c r="O191" s="125" t="s">
        <v>782</v>
      </c>
      <c r="P191" s="128">
        <v>35086</v>
      </c>
      <c r="Q191" s="125">
        <f ca="1">IF(N191="","",IF(AND(LEN(N191)&lt;&gt;15,LEN(N191)&lt;&gt;18),"错误",ROUNDDOWN((NOW()-P191)/365,0)))</f>
        <v>30</v>
      </c>
      <c r="R191" s="155" t="s">
        <v>1001</v>
      </c>
      <c r="S191" s="125" t="s">
        <v>785</v>
      </c>
      <c r="T191" s="125" t="s">
        <v>1002</v>
      </c>
      <c r="U191" s="125" t="s">
        <v>2420</v>
      </c>
      <c r="V191" s="125" t="s">
        <v>2421</v>
      </c>
      <c r="W191" s="125" t="s">
        <v>1005</v>
      </c>
      <c r="X191" s="125" t="s">
        <v>1006</v>
      </c>
      <c r="Y191" s="125" t="s">
        <v>1031</v>
      </c>
      <c r="Z191" s="125" t="s">
        <v>824</v>
      </c>
      <c r="AA191" s="156">
        <v>43282</v>
      </c>
      <c r="AB191" s="176">
        <v>17888830135</v>
      </c>
      <c r="AC191" s="217" t="s">
        <v>2422</v>
      </c>
      <c r="AD191" s="178" t="s">
        <v>2423</v>
      </c>
      <c r="AE191" s="136" t="s">
        <v>2424</v>
      </c>
      <c r="AF191" s="157" t="s">
        <v>2425</v>
      </c>
      <c r="AG191" s="136" t="s">
        <v>1011</v>
      </c>
      <c r="AH191" s="157">
        <v>13880804835</v>
      </c>
      <c r="AI191" s="136">
        <v>0</v>
      </c>
      <c r="AJ191" s="136">
        <v>0</v>
      </c>
      <c r="AK191" s="136"/>
      <c r="AL191" s="126"/>
      <c r="AM191" s="128"/>
      <c r="AN191" s="135"/>
      <c r="AO191" s="136"/>
      <c r="AP191" s="125"/>
      <c r="AQ191" s="123"/>
    </row>
    <row r="192" s="87" customFormat="1" customHeight="1" spans="1:45">
      <c r="A192" s="122">
        <v>191</v>
      </c>
      <c r="B192" s="140">
        <v>42652</v>
      </c>
      <c r="C192" s="139" t="s">
        <v>1026</v>
      </c>
      <c r="D192" s="122" t="s">
        <v>2360</v>
      </c>
      <c r="E192" s="122" t="s">
        <v>1115</v>
      </c>
      <c r="F192" s="141" t="s">
        <v>2426</v>
      </c>
      <c r="G192" s="137" t="s">
        <v>1772</v>
      </c>
      <c r="H192" s="137" t="s">
        <v>2190</v>
      </c>
      <c r="I192" s="139" t="s">
        <v>2427</v>
      </c>
      <c r="J192" s="139" t="s">
        <v>779</v>
      </c>
      <c r="K192" s="139" t="s">
        <v>21</v>
      </c>
      <c r="L192" s="140">
        <v>42443</v>
      </c>
      <c r="M192" s="139" t="str">
        <f ca="1" t="shared" si="8"/>
        <v>9年10个月</v>
      </c>
      <c r="N192" s="181" t="s">
        <v>2428</v>
      </c>
      <c r="O192" s="139" t="s">
        <v>782</v>
      </c>
      <c r="P192" s="142">
        <v>33008</v>
      </c>
      <c r="Q192" s="139">
        <f ca="1">IF(N192="","",IF(AND(LEN(N192)&lt;&gt;15,LEN(N192)&lt;&gt;18),"错误",ROUNDDOWN((NOW()-P192)/365,0)))</f>
        <v>35</v>
      </c>
      <c r="R192" s="151" t="s">
        <v>1001</v>
      </c>
      <c r="S192" s="139" t="s">
        <v>785</v>
      </c>
      <c r="T192" s="139" t="s">
        <v>1002</v>
      </c>
      <c r="U192" s="139" t="s">
        <v>2013</v>
      </c>
      <c r="V192" s="139" t="s">
        <v>2429</v>
      </c>
      <c r="W192" s="139" t="s">
        <v>1054</v>
      </c>
      <c r="X192" s="139" t="s">
        <v>1006</v>
      </c>
      <c r="Y192" s="139" t="s">
        <v>2430</v>
      </c>
      <c r="Z192" s="139" t="s">
        <v>2259</v>
      </c>
      <c r="AA192" s="152">
        <v>42156</v>
      </c>
      <c r="AB192" s="184">
        <v>18317258897</v>
      </c>
      <c r="AC192" s="141" t="s">
        <v>2431</v>
      </c>
      <c r="AD192" s="186" t="s">
        <v>2432</v>
      </c>
      <c r="AE192" s="149" t="s">
        <v>2433</v>
      </c>
      <c r="AF192" s="153" t="s">
        <v>2434</v>
      </c>
      <c r="AG192" s="149" t="s">
        <v>2435</v>
      </c>
      <c r="AH192" s="153">
        <v>15239537591</v>
      </c>
      <c r="AI192" s="149" t="s">
        <v>1060</v>
      </c>
      <c r="AJ192" s="149"/>
      <c r="AK192" s="149"/>
      <c r="AL192" s="140">
        <f>L192</f>
        <v>42443</v>
      </c>
      <c r="AM192" s="142">
        <f>EDATE(AL192,36)-1</f>
        <v>43537</v>
      </c>
      <c r="AN192" s="148">
        <f ca="1">ROUND(AM192-NOW(),0)</f>
        <v>-2515</v>
      </c>
      <c r="AO192" s="149"/>
      <c r="AP192" s="137"/>
      <c r="AQ192" s="137"/>
    </row>
    <row r="193" s="85" customFormat="1" customHeight="1" spans="1:45">
      <c r="A193" s="122">
        <v>192</v>
      </c>
      <c r="B193" s="170">
        <v>42653</v>
      </c>
      <c r="C193" s="160" t="s">
        <v>1026</v>
      </c>
      <c r="D193" s="191" t="s">
        <v>2436</v>
      </c>
      <c r="E193" s="191" t="s">
        <v>1396</v>
      </c>
      <c r="F193" s="161" t="s">
        <v>2437</v>
      </c>
      <c r="G193" s="161" t="s">
        <v>18</v>
      </c>
      <c r="H193" s="158" t="s">
        <v>1882</v>
      </c>
      <c r="I193" s="160" t="s">
        <v>27</v>
      </c>
      <c r="J193" s="160" t="s">
        <v>803</v>
      </c>
      <c r="K193" s="160" t="s">
        <v>21</v>
      </c>
      <c r="L193" s="170">
        <v>41964</v>
      </c>
      <c r="M193" s="160" t="str">
        <f ca="1" t="shared" si="8"/>
        <v>11年2个月</v>
      </c>
      <c r="N193" s="187" t="s">
        <v>2438</v>
      </c>
      <c r="O193" s="160" t="str">
        <f>IF(N193="","",IF(AND(LEN(N193)&lt;&gt;15,LEN(N193)&lt;&gt;18),"错误",IF(MOD(IF(LEN(N193)=15,MID(N193,15,1),MID(N193,17,1)),2)=1,"男","女")))</f>
        <v>男</v>
      </c>
      <c r="P193" s="163">
        <f>IF(N193="","",IF(AND(LEN(N193)&lt;&gt;15,LEN(N193)&lt;&gt;18),"错误",IF(LEN(N193)=15,DATE(MID(N193,7,2),MID(N193,9,2),MID(N193,11,2)),DATE(MID(N193,7,4),MID(N193,11,2),MID(N193,13,2)))))</f>
        <v>34446</v>
      </c>
      <c r="Q193" s="160">
        <f ca="1">IF(N193="","",IF(AND(LEN(N193)&lt;&gt;15,LEN(N193)&lt;&gt;18),"错误",ROUNDDOWN((NOW()-P193)/365,0)))</f>
        <v>31</v>
      </c>
      <c r="R193" s="165" t="s">
        <v>1001</v>
      </c>
      <c r="S193" s="160" t="s">
        <v>785</v>
      </c>
      <c r="T193" s="160" t="s">
        <v>1002</v>
      </c>
      <c r="U193" s="160" t="s">
        <v>1264</v>
      </c>
      <c r="V193" s="160" t="s">
        <v>21</v>
      </c>
      <c r="W193" s="160" t="s">
        <v>786</v>
      </c>
      <c r="X193" s="160" t="s">
        <v>1006</v>
      </c>
      <c r="Y193" s="160" t="s">
        <v>1109</v>
      </c>
      <c r="Z193" s="160" t="s">
        <v>824</v>
      </c>
      <c r="AA193" s="166">
        <v>42552</v>
      </c>
      <c r="AB193" s="171">
        <v>18800123129</v>
      </c>
      <c r="AC193" s="191" t="s">
        <v>2439</v>
      </c>
      <c r="AD193" s="172" t="s">
        <v>2440</v>
      </c>
      <c r="AE193" s="167" t="s">
        <v>2441</v>
      </c>
      <c r="AF193" s="168" t="s">
        <v>2442</v>
      </c>
      <c r="AG193" s="167" t="s">
        <v>1046</v>
      </c>
      <c r="AH193" s="168">
        <v>13819182303</v>
      </c>
      <c r="AI193" s="167" t="s">
        <v>1035</v>
      </c>
      <c r="AJ193" s="167"/>
      <c r="AK193" s="167"/>
      <c r="AL193" s="163"/>
      <c r="AM193" s="163"/>
      <c r="AN193" s="174"/>
      <c r="AO193" s="167"/>
      <c r="AP193" s="160" t="s">
        <v>184</v>
      </c>
      <c r="AQ193" s="158"/>
    </row>
    <row r="194" s="87" customFormat="1" customHeight="1" spans="1:45">
      <c r="A194" s="122">
        <v>193</v>
      </c>
      <c r="B194" s="126">
        <v>42654</v>
      </c>
      <c r="C194" s="125" t="s">
        <v>1026</v>
      </c>
      <c r="D194" s="132" t="s">
        <v>2443</v>
      </c>
      <c r="E194" s="132" t="s">
        <v>997</v>
      </c>
      <c r="F194" s="127" t="s">
        <v>2444</v>
      </c>
      <c r="G194" s="127" t="s">
        <v>1355</v>
      </c>
      <c r="H194" s="123" t="s">
        <v>1169</v>
      </c>
      <c r="I194" s="125" t="s">
        <v>27</v>
      </c>
      <c r="J194" s="125" t="s">
        <v>803</v>
      </c>
      <c r="K194" s="125" t="s">
        <v>21</v>
      </c>
      <c r="L194" s="126">
        <v>42584</v>
      </c>
      <c r="M194" s="126" t="str">
        <f ca="1" t="shared" si="8"/>
        <v>9年5个月</v>
      </c>
      <c r="N194" s="183" t="s">
        <v>2445</v>
      </c>
      <c r="O194" s="125" t="s">
        <v>794</v>
      </c>
      <c r="P194" s="128">
        <v>33848</v>
      </c>
      <c r="Q194" s="125">
        <v>23</v>
      </c>
      <c r="R194" s="155" t="s">
        <v>1001</v>
      </c>
      <c r="S194" s="125" t="s">
        <v>785</v>
      </c>
      <c r="T194" s="125" t="s">
        <v>1002</v>
      </c>
      <c r="U194" s="125" t="s">
        <v>2446</v>
      </c>
      <c r="V194" s="125" t="s">
        <v>2447</v>
      </c>
      <c r="W194" s="125" t="s">
        <v>1005</v>
      </c>
      <c r="X194" s="125" t="s">
        <v>974</v>
      </c>
      <c r="Y194" s="125" t="s">
        <v>1599</v>
      </c>
      <c r="Z194" s="125" t="s">
        <v>2448</v>
      </c>
      <c r="AA194" s="156">
        <v>42795</v>
      </c>
      <c r="AB194" s="177">
        <v>18811019126</v>
      </c>
      <c r="AC194" s="176" t="s">
        <v>2449</v>
      </c>
      <c r="AD194" s="178" t="s">
        <v>2450</v>
      </c>
      <c r="AE194" s="136" t="s">
        <v>2451</v>
      </c>
      <c r="AF194" s="157" t="s">
        <v>2452</v>
      </c>
      <c r="AG194" s="136" t="s">
        <v>1498</v>
      </c>
      <c r="AH194" s="157">
        <v>18811020859</v>
      </c>
      <c r="AI194" s="136" t="s">
        <v>1060</v>
      </c>
      <c r="AJ194" s="136">
        <v>0</v>
      </c>
      <c r="AK194" s="136"/>
      <c r="AL194" s="126"/>
      <c r="AM194" s="128"/>
      <c r="AN194" s="135"/>
      <c r="AO194" s="136"/>
      <c r="AP194" s="125"/>
      <c r="AQ194" s="123"/>
    </row>
    <row r="195" s="87" customFormat="1" customHeight="1" spans="1:45">
      <c r="A195" s="122">
        <v>194</v>
      </c>
      <c r="B195" s="140">
        <v>42655</v>
      </c>
      <c r="C195" s="139" t="s">
        <v>1026</v>
      </c>
      <c r="D195" s="122" t="s">
        <v>1127</v>
      </c>
      <c r="E195" s="122" t="s">
        <v>1127</v>
      </c>
      <c r="F195" s="141" t="s">
        <v>2453</v>
      </c>
      <c r="G195" s="141" t="s">
        <v>1530</v>
      </c>
      <c r="H195" s="213" t="s">
        <v>2454</v>
      </c>
      <c r="I195" s="139" t="s">
        <v>536</v>
      </c>
      <c r="J195" s="139" t="s">
        <v>779</v>
      </c>
      <c r="K195" s="139" t="s">
        <v>137</v>
      </c>
      <c r="L195" s="140">
        <v>42079</v>
      </c>
      <c r="M195" s="139" t="str">
        <f ca="1" t="shared" si="8"/>
        <v>10年10个月</v>
      </c>
      <c r="N195" s="181" t="s">
        <v>2455</v>
      </c>
      <c r="O195" s="139" t="str">
        <f>IF(N195="","",IF(AND(LEN(N195)&lt;&gt;15,LEN(N195)&lt;&gt;18),"错误",IF(MOD(IF(LEN(N195)=15,MID(N195,15,1),MID(N195,17,1)),2)=1,"男","女")))</f>
        <v>女</v>
      </c>
      <c r="P195" s="142">
        <f>IF(N195="","",IF(AND(LEN(N195)&lt;&gt;15,LEN(N195)&lt;&gt;18),"错误",IF(LEN(N195)=15,DATE(MID(N195,7,2),MID(N195,9,2),MID(N195,11,2)),DATE(MID(N195,7,4),MID(N195,11,2),MID(N195,13,2)))))</f>
        <v>33159</v>
      </c>
      <c r="Q195" s="139">
        <f ca="1" t="shared" ref="Q195:Q200" si="9">IF(N195="","",IF(AND(LEN(N195)&lt;&gt;15,LEN(N195)&lt;&gt;18),"错误",ROUNDDOWN((NOW()-P195)/365,0)))</f>
        <v>35</v>
      </c>
      <c r="R195" s="151" t="s">
        <v>1001</v>
      </c>
      <c r="S195" s="139" t="s">
        <v>785</v>
      </c>
      <c r="T195" s="139" t="s">
        <v>1002</v>
      </c>
      <c r="U195" s="139" t="s">
        <v>1418</v>
      </c>
      <c r="V195" s="139" t="s">
        <v>2456</v>
      </c>
      <c r="W195" s="139" t="s">
        <v>1054</v>
      </c>
      <c r="X195" s="139" t="s">
        <v>1006</v>
      </c>
      <c r="Y195" s="139" t="s">
        <v>1319</v>
      </c>
      <c r="Z195" s="139" t="s">
        <v>2457</v>
      </c>
      <c r="AA195" s="152">
        <v>41061</v>
      </c>
      <c r="AB195" s="185">
        <v>15651516285</v>
      </c>
      <c r="AC195" s="122" t="s">
        <v>2458</v>
      </c>
      <c r="AD195" s="186" t="s">
        <v>2459</v>
      </c>
      <c r="AE195" s="149" t="s">
        <v>2460</v>
      </c>
      <c r="AF195" s="153" t="s">
        <v>2461</v>
      </c>
      <c r="AG195" s="149" t="s">
        <v>1011</v>
      </c>
      <c r="AH195" s="153">
        <v>13665168752</v>
      </c>
      <c r="AI195" s="149" t="s">
        <v>1113</v>
      </c>
      <c r="AJ195" s="149"/>
      <c r="AK195" s="149"/>
      <c r="AL195" s="140">
        <v>42079</v>
      </c>
      <c r="AM195" s="142">
        <v>42809</v>
      </c>
      <c r="AN195" s="148">
        <f ca="1">ROUND(AM195-NOW(),0)</f>
        <v>-3243</v>
      </c>
      <c r="AO195" s="149" t="s">
        <v>138</v>
      </c>
      <c r="AP195" s="139"/>
      <c r="AQ195" s="137"/>
    </row>
    <row r="196" s="87" customFormat="1" customHeight="1" spans="1:45">
      <c r="A196" s="122">
        <v>195</v>
      </c>
      <c r="B196" s="126">
        <v>42656</v>
      </c>
      <c r="C196" s="125" t="s">
        <v>1026</v>
      </c>
      <c r="D196" s="132" t="s">
        <v>2462</v>
      </c>
      <c r="E196" s="132" t="s">
        <v>997</v>
      </c>
      <c r="F196" s="127" t="s">
        <v>2463</v>
      </c>
      <c r="G196" s="123" t="s">
        <v>18</v>
      </c>
      <c r="H196" s="123" t="s">
        <v>1409</v>
      </c>
      <c r="I196" s="125" t="s">
        <v>27</v>
      </c>
      <c r="J196" s="125" t="s">
        <v>803</v>
      </c>
      <c r="K196" s="125" t="s">
        <v>21</v>
      </c>
      <c r="L196" s="126">
        <v>42373</v>
      </c>
      <c r="M196" s="126" t="str">
        <f ca="1" t="shared" si="8"/>
        <v>10年0个月</v>
      </c>
      <c r="N196" s="183" t="s">
        <v>2464</v>
      </c>
      <c r="O196" s="125" t="s">
        <v>782</v>
      </c>
      <c r="P196" s="128">
        <v>35018</v>
      </c>
      <c r="Q196" s="125">
        <f ca="1" t="shared" si="9"/>
        <v>30</v>
      </c>
      <c r="R196" s="155" t="s">
        <v>1001</v>
      </c>
      <c r="S196" s="125" t="s">
        <v>785</v>
      </c>
      <c r="T196" s="125" t="s">
        <v>1002</v>
      </c>
      <c r="U196" s="125" t="s">
        <v>2465</v>
      </c>
      <c r="V196" s="125" t="s">
        <v>2466</v>
      </c>
      <c r="W196" s="125" t="s">
        <v>1054</v>
      </c>
      <c r="X196" s="125" t="s">
        <v>1006</v>
      </c>
      <c r="Y196" s="125" t="s">
        <v>1007</v>
      </c>
      <c r="Z196" s="125" t="s">
        <v>1065</v>
      </c>
      <c r="AA196" s="156">
        <v>42522</v>
      </c>
      <c r="AB196" s="176">
        <v>13155161535</v>
      </c>
      <c r="AC196" s="127" t="s">
        <v>2467</v>
      </c>
      <c r="AD196" s="178" t="s">
        <v>2468</v>
      </c>
      <c r="AE196" s="136" t="s">
        <v>2469</v>
      </c>
      <c r="AF196" s="157" t="s">
        <v>2470</v>
      </c>
      <c r="AG196" s="136" t="s">
        <v>1046</v>
      </c>
      <c r="AH196" s="157">
        <v>13506784409</v>
      </c>
      <c r="AI196" s="136" t="s">
        <v>1087</v>
      </c>
      <c r="AJ196" s="136" t="s">
        <v>1131</v>
      </c>
      <c r="AK196" s="136"/>
      <c r="AL196" s="126"/>
      <c r="AM196" s="128"/>
      <c r="AN196" s="135"/>
      <c r="AO196" s="136"/>
      <c r="AP196" s="125"/>
      <c r="AQ196" s="123" t="s">
        <v>23</v>
      </c>
    </row>
    <row r="197" s="87" customFormat="1" customHeight="1" spans="1:45">
      <c r="A197" s="122">
        <v>196</v>
      </c>
      <c r="B197" s="126">
        <v>42656</v>
      </c>
      <c r="C197" s="125" t="s">
        <v>1026</v>
      </c>
      <c r="D197" s="132" t="s">
        <v>2462</v>
      </c>
      <c r="E197" s="132" t="s">
        <v>997</v>
      </c>
      <c r="F197" s="127" t="s">
        <v>2471</v>
      </c>
      <c r="G197" s="123" t="s">
        <v>18</v>
      </c>
      <c r="H197" s="123" t="s">
        <v>1409</v>
      </c>
      <c r="I197" s="125" t="s">
        <v>27</v>
      </c>
      <c r="J197" s="125" t="s">
        <v>803</v>
      </c>
      <c r="K197" s="125" t="s">
        <v>21</v>
      </c>
      <c r="L197" s="126">
        <v>42493</v>
      </c>
      <c r="M197" s="126" t="str">
        <f ca="1" t="shared" si="8"/>
        <v>9年8个月</v>
      </c>
      <c r="N197" s="183" t="s">
        <v>2472</v>
      </c>
      <c r="O197" s="125" t="s">
        <v>782</v>
      </c>
      <c r="P197" s="128">
        <v>33788</v>
      </c>
      <c r="Q197" s="125">
        <f ca="1" t="shared" si="9"/>
        <v>33</v>
      </c>
      <c r="R197" s="155" t="s">
        <v>784</v>
      </c>
      <c r="S197" s="125" t="s">
        <v>785</v>
      </c>
      <c r="T197" s="125" t="s">
        <v>1002</v>
      </c>
      <c r="U197" s="125" t="s">
        <v>1676</v>
      </c>
      <c r="V197" s="125" t="s">
        <v>1238</v>
      </c>
      <c r="W197" s="125" t="s">
        <v>1005</v>
      </c>
      <c r="X197" s="125" t="s">
        <v>1006</v>
      </c>
      <c r="Y197" s="125" t="s">
        <v>1698</v>
      </c>
      <c r="Z197" s="125" t="s">
        <v>1065</v>
      </c>
      <c r="AA197" s="156">
        <v>42522</v>
      </c>
      <c r="AB197" s="177">
        <v>18698568112</v>
      </c>
      <c r="AC197" s="217" t="s">
        <v>2473</v>
      </c>
      <c r="AD197" s="178" t="s">
        <v>2474</v>
      </c>
      <c r="AE197" s="136" t="s">
        <v>2475</v>
      </c>
      <c r="AF197" s="157" t="s">
        <v>2476</v>
      </c>
      <c r="AG197" s="136" t="s">
        <v>1046</v>
      </c>
      <c r="AH197" s="157">
        <v>13706658518</v>
      </c>
      <c r="AI197" s="136">
        <v>0</v>
      </c>
      <c r="AJ197" s="136">
        <v>0</v>
      </c>
      <c r="AK197" s="136"/>
      <c r="AL197" s="126"/>
      <c r="AM197" s="128"/>
      <c r="AN197" s="135"/>
      <c r="AO197" s="136"/>
      <c r="AP197" s="125"/>
      <c r="AQ197" s="123"/>
      <c r="AR197" s="85"/>
      <c r="AS197" s="85"/>
    </row>
    <row r="198" s="85" customFormat="1" customHeight="1" spans="1:45">
      <c r="A198" s="122">
        <v>197</v>
      </c>
      <c r="B198" s="126">
        <v>42657</v>
      </c>
      <c r="C198" s="125" t="s">
        <v>1026</v>
      </c>
      <c r="D198" s="132" t="s">
        <v>2043</v>
      </c>
      <c r="E198" s="132" t="s">
        <v>997</v>
      </c>
      <c r="F198" s="127" t="s">
        <v>2477</v>
      </c>
      <c r="G198" s="127" t="s">
        <v>18</v>
      </c>
      <c r="H198" s="123" t="s">
        <v>1882</v>
      </c>
      <c r="I198" s="125" t="s">
        <v>27</v>
      </c>
      <c r="J198" s="125" t="s">
        <v>803</v>
      </c>
      <c r="K198" s="125" t="s">
        <v>21</v>
      </c>
      <c r="L198" s="126">
        <v>42542</v>
      </c>
      <c r="M198" s="125" t="str">
        <f ca="1" t="shared" si="8"/>
        <v>9年7个月</v>
      </c>
      <c r="N198" s="183" t="s">
        <v>2478</v>
      </c>
      <c r="O198" s="125" t="s">
        <v>782</v>
      </c>
      <c r="P198" s="128">
        <v>35465</v>
      </c>
      <c r="Q198" s="125">
        <f ca="1" t="shared" si="9"/>
        <v>29</v>
      </c>
      <c r="R198" s="155" t="s">
        <v>1001</v>
      </c>
      <c r="S198" s="125" t="s">
        <v>785</v>
      </c>
      <c r="T198" s="125" t="s">
        <v>1002</v>
      </c>
      <c r="U198" s="125" t="s">
        <v>2479</v>
      </c>
      <c r="V198" s="125" t="s">
        <v>1411</v>
      </c>
      <c r="W198" s="125" t="s">
        <v>1005</v>
      </c>
      <c r="X198" s="125" t="s">
        <v>1006</v>
      </c>
      <c r="Y198" s="125" t="s">
        <v>1031</v>
      </c>
      <c r="Z198" s="125" t="s">
        <v>824</v>
      </c>
      <c r="AA198" s="156">
        <v>43617</v>
      </c>
      <c r="AB198" s="176">
        <v>18810208503</v>
      </c>
      <c r="AC198" s="127" t="s">
        <v>2480</v>
      </c>
      <c r="AD198" s="178" t="s">
        <v>2481</v>
      </c>
      <c r="AE198" s="136" t="s">
        <v>2482</v>
      </c>
      <c r="AF198" s="157" t="s">
        <v>2483</v>
      </c>
      <c r="AG198" s="136" t="s">
        <v>1011</v>
      </c>
      <c r="AH198" s="157">
        <v>13567556183</v>
      </c>
      <c r="AI198" s="136" t="s">
        <v>1035</v>
      </c>
      <c r="AJ198" s="136" t="s">
        <v>2484</v>
      </c>
      <c r="AK198" s="136"/>
      <c r="AL198" s="126"/>
      <c r="AM198" s="128"/>
      <c r="AN198" s="135"/>
      <c r="AO198" s="136"/>
      <c r="AP198" s="125"/>
      <c r="AQ198" s="123"/>
      <c r="AR198" s="87"/>
      <c r="AS198" s="87"/>
    </row>
    <row r="199" s="87" customFormat="1" customHeight="1" spans="1:45">
      <c r="A199" s="122">
        <v>198</v>
      </c>
      <c r="B199" s="126">
        <v>42657</v>
      </c>
      <c r="C199" s="125" t="s">
        <v>1026</v>
      </c>
      <c r="D199" s="132" t="s">
        <v>2043</v>
      </c>
      <c r="E199" s="132" t="s">
        <v>997</v>
      </c>
      <c r="F199" s="127" t="s">
        <v>2485</v>
      </c>
      <c r="G199" s="127" t="s">
        <v>18</v>
      </c>
      <c r="H199" s="123" t="s">
        <v>1882</v>
      </c>
      <c r="I199" s="125" t="s">
        <v>27</v>
      </c>
      <c r="J199" s="125" t="s">
        <v>803</v>
      </c>
      <c r="K199" s="125" t="s">
        <v>21</v>
      </c>
      <c r="L199" s="126">
        <v>42555</v>
      </c>
      <c r="M199" s="125" t="str">
        <f ca="1" t="shared" si="8"/>
        <v>9年6个月</v>
      </c>
      <c r="N199" s="183" t="s">
        <v>2486</v>
      </c>
      <c r="O199" s="125" t="s">
        <v>782</v>
      </c>
      <c r="P199" s="128">
        <v>35353</v>
      </c>
      <c r="Q199" s="125">
        <f ca="1" t="shared" si="9"/>
        <v>29</v>
      </c>
      <c r="R199" s="155" t="s">
        <v>1001</v>
      </c>
      <c r="S199" s="125" t="s">
        <v>785</v>
      </c>
      <c r="T199" s="125" t="s">
        <v>1002</v>
      </c>
      <c r="U199" s="125" t="s">
        <v>2487</v>
      </c>
      <c r="V199" s="125" t="s">
        <v>818</v>
      </c>
      <c r="W199" s="125" t="s">
        <v>1005</v>
      </c>
      <c r="X199" s="125" t="s">
        <v>1006</v>
      </c>
      <c r="Y199" s="125" t="s">
        <v>1031</v>
      </c>
      <c r="Z199" s="125" t="s">
        <v>993</v>
      </c>
      <c r="AA199" s="156">
        <v>43647</v>
      </c>
      <c r="AB199" s="177">
        <v>18810208560</v>
      </c>
      <c r="AC199" s="127" t="s">
        <v>2488</v>
      </c>
      <c r="AD199" s="178" t="s">
        <v>2489</v>
      </c>
      <c r="AE199" s="136" t="s">
        <v>2490</v>
      </c>
      <c r="AF199" s="157" t="s">
        <v>2491</v>
      </c>
      <c r="AG199" s="136" t="s">
        <v>1011</v>
      </c>
      <c r="AH199" s="157">
        <v>13313859301</v>
      </c>
      <c r="AI199" s="136" t="s">
        <v>1035</v>
      </c>
      <c r="AJ199" s="136" t="s">
        <v>2051</v>
      </c>
      <c r="AK199" s="136"/>
      <c r="AL199" s="126"/>
      <c r="AM199" s="128"/>
      <c r="AN199" s="135"/>
      <c r="AO199" s="136"/>
      <c r="AP199" s="125"/>
      <c r="AQ199" s="123"/>
    </row>
    <row r="200" s="85" customFormat="1" customHeight="1" spans="1:45">
      <c r="A200" s="122">
        <v>199</v>
      </c>
      <c r="B200" s="126">
        <v>42661</v>
      </c>
      <c r="C200" s="125" t="s">
        <v>1026</v>
      </c>
      <c r="D200" s="132" t="s">
        <v>2381</v>
      </c>
      <c r="E200" s="132"/>
      <c r="F200" s="127" t="s">
        <v>2492</v>
      </c>
      <c r="G200" s="127" t="s">
        <v>18</v>
      </c>
      <c r="H200" s="123" t="s">
        <v>1281</v>
      </c>
      <c r="I200" s="125" t="s">
        <v>27</v>
      </c>
      <c r="J200" s="125" t="s">
        <v>803</v>
      </c>
      <c r="K200" s="125" t="s">
        <v>21</v>
      </c>
      <c r="L200" s="126">
        <v>42142</v>
      </c>
      <c r="M200" s="126" t="str">
        <f ca="1" t="shared" si="8"/>
        <v>10年8个月</v>
      </c>
      <c r="N200" s="183" t="s">
        <v>2493</v>
      </c>
      <c r="O200" s="125" t="s">
        <v>782</v>
      </c>
      <c r="P200" s="128">
        <v>34820</v>
      </c>
      <c r="Q200" s="125">
        <f ca="1" t="shared" si="9"/>
        <v>30</v>
      </c>
      <c r="R200" s="155" t="s">
        <v>1001</v>
      </c>
      <c r="S200" s="125" t="s">
        <v>785</v>
      </c>
      <c r="T200" s="125" t="s">
        <v>1002</v>
      </c>
      <c r="U200" s="125" t="s">
        <v>1283</v>
      </c>
      <c r="V200" s="125" t="s">
        <v>2413</v>
      </c>
      <c r="W200" s="125" t="s">
        <v>1476</v>
      </c>
      <c r="X200" s="125" t="s">
        <v>789</v>
      </c>
      <c r="Y200" s="125" t="s">
        <v>2149</v>
      </c>
      <c r="Z200" s="125" t="s">
        <v>1457</v>
      </c>
      <c r="AA200" s="156">
        <v>42917</v>
      </c>
      <c r="AB200" s="177">
        <v>18611179236</v>
      </c>
      <c r="AC200" s="134" t="s">
        <v>2494</v>
      </c>
      <c r="AD200" s="178" t="s">
        <v>2495</v>
      </c>
      <c r="AE200" s="136" t="s">
        <v>2496</v>
      </c>
      <c r="AF200" s="157" t="s">
        <v>2497</v>
      </c>
      <c r="AG200" s="136" t="s">
        <v>1046</v>
      </c>
      <c r="AH200" s="157">
        <v>13326398901</v>
      </c>
      <c r="AI200" s="136" t="s">
        <v>1035</v>
      </c>
      <c r="AJ200" s="136" t="s">
        <v>28</v>
      </c>
      <c r="AK200" s="136"/>
      <c r="AL200" s="126"/>
      <c r="AM200" s="128"/>
      <c r="AN200" s="135"/>
      <c r="AO200" s="136"/>
      <c r="AP200" s="125"/>
      <c r="AQ200" s="123"/>
    </row>
    <row r="201" customHeight="1" spans="1:45">
      <c r="A201" s="122">
        <v>200</v>
      </c>
      <c r="B201" s="126">
        <v>42661</v>
      </c>
      <c r="C201" s="125" t="s">
        <v>1026</v>
      </c>
      <c r="D201" s="132" t="s">
        <v>2043</v>
      </c>
      <c r="E201" s="132" t="s">
        <v>997</v>
      </c>
      <c r="F201" s="127" t="s">
        <v>2498</v>
      </c>
      <c r="G201" s="127" t="s">
        <v>1772</v>
      </c>
      <c r="H201" s="123" t="s">
        <v>1856</v>
      </c>
      <c r="I201" s="125" t="s">
        <v>27</v>
      </c>
      <c r="J201" s="125" t="s">
        <v>803</v>
      </c>
      <c r="K201" s="125" t="s">
        <v>21</v>
      </c>
      <c r="L201" s="126">
        <v>42569</v>
      </c>
      <c r="M201" s="126" t="str">
        <f ca="1" t="shared" si="8"/>
        <v>9年6个月</v>
      </c>
      <c r="N201" s="183" t="s">
        <v>2499</v>
      </c>
      <c r="O201" s="125" t="s">
        <v>782</v>
      </c>
      <c r="P201" s="128">
        <v>33569</v>
      </c>
      <c r="Q201" s="125">
        <v>24</v>
      </c>
      <c r="R201" s="155" t="s">
        <v>1001</v>
      </c>
      <c r="S201" s="125" t="s">
        <v>785</v>
      </c>
      <c r="T201" s="125" t="s">
        <v>1002</v>
      </c>
      <c r="U201" s="125" t="s">
        <v>2500</v>
      </c>
      <c r="V201" s="125" t="s">
        <v>2501</v>
      </c>
      <c r="W201" s="125" t="s">
        <v>1005</v>
      </c>
      <c r="X201" s="125" t="s">
        <v>1006</v>
      </c>
      <c r="Y201" s="125" t="s">
        <v>1031</v>
      </c>
      <c r="Z201" s="125" t="s">
        <v>824</v>
      </c>
      <c r="AA201" s="156">
        <v>42186</v>
      </c>
      <c r="AB201" s="176">
        <v>18810311413</v>
      </c>
      <c r="AC201" s="127" t="s">
        <v>2502</v>
      </c>
      <c r="AD201" s="178" t="s">
        <v>2503</v>
      </c>
      <c r="AE201" s="136" t="s">
        <v>2501</v>
      </c>
      <c r="AF201" s="157" t="s">
        <v>2504</v>
      </c>
      <c r="AG201" s="136" t="s">
        <v>1097</v>
      </c>
      <c r="AH201" s="157">
        <v>13923321892</v>
      </c>
      <c r="AI201" s="136">
        <v>0</v>
      </c>
      <c r="AJ201" s="136">
        <v>0</v>
      </c>
      <c r="AK201" s="136"/>
      <c r="AL201" s="126"/>
      <c r="AM201" s="128"/>
      <c r="AN201" s="135"/>
      <c r="AO201" s="125"/>
      <c r="AP201" s="125"/>
      <c r="AQ201" s="123"/>
    </row>
    <row r="202" customHeight="1" spans="1:45">
      <c r="A202" s="122">
        <v>201</v>
      </c>
      <c r="B202" s="140">
        <v>42662</v>
      </c>
      <c r="C202" s="139" t="s">
        <v>1026</v>
      </c>
      <c r="D202" s="122" t="s">
        <v>2505</v>
      </c>
      <c r="E202" s="122" t="s">
        <v>1127</v>
      </c>
      <c r="F202" s="141" t="s">
        <v>2506</v>
      </c>
      <c r="G202" s="212" t="s">
        <v>1530</v>
      </c>
      <c r="H202" s="137" t="s">
        <v>2454</v>
      </c>
      <c r="I202" s="139" t="s">
        <v>276</v>
      </c>
      <c r="J202" s="139" t="s">
        <v>779</v>
      </c>
      <c r="K202" s="139" t="s">
        <v>21</v>
      </c>
      <c r="L202" s="140">
        <v>42173</v>
      </c>
      <c r="M202" s="139" t="str">
        <f ca="1" t="shared" si="8"/>
        <v>10年7个月</v>
      </c>
      <c r="N202" s="181" t="s">
        <v>2507</v>
      </c>
      <c r="O202" s="139" t="s">
        <v>782</v>
      </c>
      <c r="P202" s="142">
        <v>28116</v>
      </c>
      <c r="Q202" s="139">
        <f ca="1">IF(N202="","",IF(AND(LEN(N202)&lt;&gt;15,LEN(N202)&lt;&gt;18),"错误",ROUNDDOWN((NOW()-P202)/365,0)))</f>
        <v>49</v>
      </c>
      <c r="R202" s="151" t="s">
        <v>1001</v>
      </c>
      <c r="S202" s="139" t="s">
        <v>879</v>
      </c>
      <c r="T202" s="139" t="s">
        <v>1051</v>
      </c>
      <c r="U202" s="139" t="s">
        <v>21</v>
      </c>
      <c r="V202" s="139" t="s">
        <v>2508</v>
      </c>
      <c r="W202" s="139" t="s">
        <v>1005</v>
      </c>
      <c r="X202" s="139" t="s">
        <v>1006</v>
      </c>
      <c r="Y202" s="139" t="s">
        <v>2509</v>
      </c>
      <c r="Z202" s="139" t="s">
        <v>2510</v>
      </c>
      <c r="AA202" s="152">
        <v>36361</v>
      </c>
      <c r="AB202" s="184">
        <v>18611690206</v>
      </c>
      <c r="AC202" s="122" t="s">
        <v>2511</v>
      </c>
      <c r="AD202" s="186" t="s">
        <v>2512</v>
      </c>
      <c r="AE202" s="149" t="s">
        <v>2508</v>
      </c>
      <c r="AF202" s="153" t="s">
        <v>2513</v>
      </c>
      <c r="AG202" s="149" t="s">
        <v>1167</v>
      </c>
      <c r="AH202" s="153">
        <v>13801049516</v>
      </c>
      <c r="AI202" s="149" t="s">
        <v>1604</v>
      </c>
      <c r="AJ202" s="149"/>
      <c r="AK202" s="149"/>
      <c r="AL202" s="140">
        <f>L202</f>
        <v>42173</v>
      </c>
      <c r="AM202" s="142">
        <f>EDATE(AL202,36)-1</f>
        <v>43268</v>
      </c>
      <c r="AN202" s="148">
        <f ca="1">ROUND(AM202-NOW(),0)</f>
        <v>-2784</v>
      </c>
      <c r="AO202" s="137" t="s">
        <v>123</v>
      </c>
      <c r="AP202" s="139"/>
      <c r="AQ202" s="137"/>
    </row>
    <row r="203" customHeight="1" spans="1:45">
      <c r="A203" s="122">
        <v>202</v>
      </c>
      <c r="B203" s="126">
        <v>42662</v>
      </c>
      <c r="C203" s="125" t="s">
        <v>1026</v>
      </c>
      <c r="D203" s="132" t="s">
        <v>1127</v>
      </c>
      <c r="E203" s="132" t="s">
        <v>1115</v>
      </c>
      <c r="F203" s="127" t="s">
        <v>2514</v>
      </c>
      <c r="G203" s="127" t="s">
        <v>480</v>
      </c>
      <c r="H203" s="123" t="s">
        <v>1431</v>
      </c>
      <c r="I203" s="125" t="s">
        <v>27</v>
      </c>
      <c r="J203" s="125" t="s">
        <v>803</v>
      </c>
      <c r="K203" s="125" t="s">
        <v>21</v>
      </c>
      <c r="L203" s="126">
        <v>42631</v>
      </c>
      <c r="M203" s="125" t="str">
        <f ca="1" t="shared" si="8"/>
        <v>9年4个月</v>
      </c>
      <c r="N203" s="183" t="s">
        <v>2515</v>
      </c>
      <c r="O203" s="125" t="s">
        <v>782</v>
      </c>
      <c r="P203" s="128">
        <v>33249</v>
      </c>
      <c r="Q203" s="125">
        <v>25</v>
      </c>
      <c r="R203" s="155" t="s">
        <v>1001</v>
      </c>
      <c r="S203" s="125" t="s">
        <v>785</v>
      </c>
      <c r="T203" s="125" t="s">
        <v>1002</v>
      </c>
      <c r="U203" s="125" t="s">
        <v>2516</v>
      </c>
      <c r="V203" s="125" t="s">
        <v>2022</v>
      </c>
      <c r="W203" s="125" t="s">
        <v>1133</v>
      </c>
      <c r="X203" s="125" t="s">
        <v>789</v>
      </c>
      <c r="Y203" s="125" t="s">
        <v>1121</v>
      </c>
      <c r="Z203" s="125" t="s">
        <v>1056</v>
      </c>
      <c r="AA203" s="156">
        <v>2013</v>
      </c>
      <c r="AB203" s="176">
        <v>15010291780</v>
      </c>
      <c r="AC203" s="176" t="s">
        <v>2517</v>
      </c>
      <c r="AD203" s="178" t="s">
        <v>2518</v>
      </c>
      <c r="AE203" s="136" t="s">
        <v>2519</v>
      </c>
      <c r="AF203" s="157" t="s">
        <v>2520</v>
      </c>
      <c r="AG203" s="136" t="s">
        <v>1046</v>
      </c>
      <c r="AH203" s="157">
        <v>15571369561</v>
      </c>
      <c r="AI203" s="136" t="s">
        <v>1035</v>
      </c>
      <c r="AJ203" s="136" t="s">
        <v>2333</v>
      </c>
      <c r="AK203" s="136" t="s">
        <v>2521</v>
      </c>
      <c r="AL203" s="126"/>
      <c r="AM203" s="135"/>
      <c r="AN203" s="135"/>
      <c r="AO203" s="125"/>
      <c r="AP203" s="125"/>
      <c r="AQ203" s="123"/>
    </row>
    <row r="204" s="87" customFormat="1" customHeight="1" spans="1:45">
      <c r="A204" s="122">
        <v>203</v>
      </c>
      <c r="B204" s="140">
        <v>42668</v>
      </c>
      <c r="C204" s="139" t="s">
        <v>1026</v>
      </c>
      <c r="D204" s="122" t="s">
        <v>1964</v>
      </c>
      <c r="E204" s="139" t="s">
        <v>1964</v>
      </c>
      <c r="F204" s="141" t="s">
        <v>2522</v>
      </c>
      <c r="G204" s="137" t="s">
        <v>1566</v>
      </c>
      <c r="H204" s="137" t="s">
        <v>2350</v>
      </c>
      <c r="I204" s="139" t="s">
        <v>2523</v>
      </c>
      <c r="J204" s="139" t="s">
        <v>803</v>
      </c>
      <c r="K204" s="139" t="s">
        <v>21</v>
      </c>
      <c r="L204" s="142">
        <v>42569</v>
      </c>
      <c r="M204" s="139" t="str">
        <f ca="1" t="shared" si="8"/>
        <v>9年6个月</v>
      </c>
      <c r="N204" s="181" t="s">
        <v>2524</v>
      </c>
      <c r="O204" s="139" t="s">
        <v>794</v>
      </c>
      <c r="P204" s="142">
        <v>29886</v>
      </c>
      <c r="Q204" s="143">
        <v>34</v>
      </c>
      <c r="R204" s="151" t="s">
        <v>1001</v>
      </c>
      <c r="S204" s="139" t="s">
        <v>879</v>
      </c>
      <c r="T204" s="139" t="s">
        <v>1051</v>
      </c>
      <c r="U204" s="139" t="s">
        <v>2525</v>
      </c>
      <c r="V204" s="139" t="s">
        <v>2526</v>
      </c>
      <c r="W204" s="139" t="s">
        <v>1005</v>
      </c>
      <c r="X204" s="139" t="s">
        <v>1006</v>
      </c>
      <c r="Y204" s="139" t="s">
        <v>2527</v>
      </c>
      <c r="Z204" s="139" t="s">
        <v>2528</v>
      </c>
      <c r="AA204" s="152">
        <v>38899</v>
      </c>
      <c r="AB204" s="153">
        <v>18600405021</v>
      </c>
      <c r="AC204" s="141" t="s">
        <v>2529</v>
      </c>
      <c r="AD204" s="149" t="s">
        <v>2530</v>
      </c>
      <c r="AE204" s="149" t="s">
        <v>2531</v>
      </c>
      <c r="AF204" s="153" t="s">
        <v>2532</v>
      </c>
      <c r="AG204" s="149" t="s">
        <v>1167</v>
      </c>
      <c r="AH204" s="153">
        <v>13910903260</v>
      </c>
      <c r="AI204" s="149" t="s">
        <v>1060</v>
      </c>
      <c r="AJ204" s="149">
        <v>0</v>
      </c>
      <c r="AK204" s="149"/>
      <c r="AL204" s="142">
        <v>42569</v>
      </c>
      <c r="AM204" s="142">
        <f>EDATE(AL204,36)-1</f>
        <v>43663</v>
      </c>
      <c r="AN204" s="148">
        <f ca="1">ROUND(AM204-NOW(),0)</f>
        <v>-2389</v>
      </c>
      <c r="AO204" s="149"/>
      <c r="AP204" s="139"/>
      <c r="AQ204" s="137"/>
    </row>
    <row r="205" customHeight="1" spans="1:45">
      <c r="A205" s="122">
        <v>204</v>
      </c>
      <c r="B205" s="140">
        <v>42678</v>
      </c>
      <c r="C205" s="139" t="s">
        <v>1026</v>
      </c>
      <c r="D205" s="122" t="s">
        <v>2533</v>
      </c>
      <c r="E205" s="122" t="s">
        <v>1115</v>
      </c>
      <c r="F205" s="141" t="s">
        <v>2534</v>
      </c>
      <c r="G205" s="137" t="s">
        <v>18</v>
      </c>
      <c r="H205" s="137" t="s">
        <v>1062</v>
      </c>
      <c r="I205" s="139" t="s">
        <v>119</v>
      </c>
      <c r="J205" s="139" t="s">
        <v>803</v>
      </c>
      <c r="K205" s="139" t="s">
        <v>21</v>
      </c>
      <c r="L205" s="142">
        <v>41505</v>
      </c>
      <c r="M205" s="139" t="str">
        <f ca="1" t="shared" si="8"/>
        <v>12年5个月</v>
      </c>
      <c r="N205" s="181" t="s">
        <v>2535</v>
      </c>
      <c r="O205" s="139" t="str">
        <f>IF(N205="","",IF(AND(LEN(N205)&lt;&gt;15,LEN(N205)&lt;&gt;18),"错误",IF(MOD(IF(LEN(N205)=15,MID(N205,15,1),MID(N205,17,1)),2)=1,"男","女")))</f>
        <v>男</v>
      </c>
      <c r="P205" s="142">
        <f>IF(N205="","",IF(AND(LEN(N205)&lt;&gt;15,LEN(N205)&lt;&gt;18),"错误",IF(LEN(N205)=15,DATE(MID(N205,7,2),MID(N205,9,2),MID(N205,11,2)),DATE(MID(N205,7,4),MID(N205,11,2),MID(N205,13,2)))))</f>
        <v>32763</v>
      </c>
      <c r="Q205" s="143">
        <f ca="1">IF(N205="","",IF(AND(LEN(N205)&lt;&gt;15,LEN(N205)&lt;&gt;18),"错误",ROUNDDOWN((NOW()-P205)/365,0)))</f>
        <v>36</v>
      </c>
      <c r="R205" s="151" t="s">
        <v>784</v>
      </c>
      <c r="S205" s="139" t="s">
        <v>785</v>
      </c>
      <c r="T205" s="139" t="s">
        <v>1002</v>
      </c>
      <c r="U205" s="139" t="s">
        <v>2536</v>
      </c>
      <c r="V205" s="139" t="s">
        <v>1455</v>
      </c>
      <c r="W205" s="139" t="s">
        <v>786</v>
      </c>
      <c r="X205" s="139" t="s">
        <v>1006</v>
      </c>
      <c r="Y205" s="139" t="s">
        <v>1162</v>
      </c>
      <c r="Z205" s="139" t="s">
        <v>824</v>
      </c>
      <c r="AA205" s="152"/>
      <c r="AB205" s="143">
        <v>18612439016</v>
      </c>
      <c r="AC205" s="141" t="s">
        <v>2537</v>
      </c>
      <c r="AD205" s="149" t="s">
        <v>2538</v>
      </c>
      <c r="AE205" s="149" t="s">
        <v>2539</v>
      </c>
      <c r="AF205" s="153" t="s">
        <v>2540</v>
      </c>
      <c r="AG205" s="149" t="s">
        <v>2541</v>
      </c>
      <c r="AH205" s="153">
        <v>13811700055</v>
      </c>
      <c r="AI205" s="149" t="s">
        <v>1080</v>
      </c>
      <c r="AJ205" s="149"/>
      <c r="AK205" s="149"/>
      <c r="AL205" s="142">
        <v>42429</v>
      </c>
      <c r="AM205" s="142">
        <f>EDATE(AL205,24)-1</f>
        <v>43158</v>
      </c>
      <c r="AN205" s="148">
        <f ca="1">ROUND(AM205-NOW(),0)</f>
        <v>-2894</v>
      </c>
      <c r="AO205" s="139" t="s">
        <v>2542</v>
      </c>
      <c r="AP205" s="139"/>
      <c r="AQ205" s="137" t="s">
        <v>23</v>
      </c>
    </row>
    <row r="206" customHeight="1" spans="1:45">
      <c r="A206" s="122">
        <v>205</v>
      </c>
      <c r="B206" s="126">
        <v>42678</v>
      </c>
      <c r="C206" s="125" t="s">
        <v>1026</v>
      </c>
      <c r="D206" s="132" t="s">
        <v>2043</v>
      </c>
      <c r="E206" s="132" t="s">
        <v>997</v>
      </c>
      <c r="F206" s="127" t="s">
        <v>2543</v>
      </c>
      <c r="G206" s="123" t="s">
        <v>1224</v>
      </c>
      <c r="H206" s="123" t="s">
        <v>2077</v>
      </c>
      <c r="I206" s="125" t="s">
        <v>27</v>
      </c>
      <c r="J206" s="125" t="s">
        <v>803</v>
      </c>
      <c r="K206" s="125" t="s">
        <v>21</v>
      </c>
      <c r="L206" s="126">
        <v>42565</v>
      </c>
      <c r="M206" s="126" t="str">
        <f ca="1" t="shared" si="8"/>
        <v>9年6个月</v>
      </c>
      <c r="N206" s="183" t="s">
        <v>2544</v>
      </c>
      <c r="O206" s="125" t="s">
        <v>782</v>
      </c>
      <c r="P206" s="128">
        <v>34028</v>
      </c>
      <c r="Q206" s="125">
        <f ca="1">IF(N206="","",IF(AND(LEN(N206)&lt;&gt;15,LEN(N206)&lt;&gt;18),"错误",ROUNDDOWN((NOW()-P206)/365,0)))</f>
        <v>32</v>
      </c>
      <c r="R206" s="155" t="s">
        <v>1001</v>
      </c>
      <c r="S206" s="125" t="s">
        <v>785</v>
      </c>
      <c r="T206" s="125" t="s">
        <v>1002</v>
      </c>
      <c r="U206" s="125" t="s">
        <v>2545</v>
      </c>
      <c r="V206" s="125" t="s">
        <v>2546</v>
      </c>
      <c r="W206" s="125" t="s">
        <v>1054</v>
      </c>
      <c r="X206" s="125" t="s">
        <v>1006</v>
      </c>
      <c r="Y206" s="125" t="s">
        <v>1174</v>
      </c>
      <c r="Z206" s="125" t="s">
        <v>2081</v>
      </c>
      <c r="AA206" s="156">
        <v>42552</v>
      </c>
      <c r="AB206" s="176">
        <v>13261713521</v>
      </c>
      <c r="AC206" s="127" t="s">
        <v>2547</v>
      </c>
      <c r="AD206" s="178" t="s">
        <v>2548</v>
      </c>
      <c r="AE206" s="136" t="s">
        <v>2549</v>
      </c>
      <c r="AF206" s="157" t="s">
        <v>2076</v>
      </c>
      <c r="AG206" s="136" t="s">
        <v>1974</v>
      </c>
      <c r="AH206" s="157">
        <v>18193672408</v>
      </c>
      <c r="AI206" s="136" t="s">
        <v>1035</v>
      </c>
      <c r="AJ206" s="136" t="s">
        <v>2076</v>
      </c>
      <c r="AK206" s="136"/>
      <c r="AL206" s="126"/>
      <c r="AM206" s="128"/>
      <c r="AN206" s="135"/>
      <c r="AO206" s="125"/>
      <c r="AP206" s="125"/>
      <c r="AQ206" s="123"/>
    </row>
    <row r="207" customHeight="1" spans="1:45">
      <c r="A207" s="122">
        <v>206</v>
      </c>
      <c r="B207" s="126">
        <v>42681</v>
      </c>
      <c r="C207" s="125" t="s">
        <v>1026</v>
      </c>
      <c r="D207" s="132" t="s">
        <v>2043</v>
      </c>
      <c r="E207" s="132" t="s">
        <v>997</v>
      </c>
      <c r="F207" s="127" t="s">
        <v>2550</v>
      </c>
      <c r="G207" s="123" t="s">
        <v>18</v>
      </c>
      <c r="H207" s="123" t="s">
        <v>2551</v>
      </c>
      <c r="I207" s="125" t="s">
        <v>27</v>
      </c>
      <c r="J207" s="125" t="s">
        <v>803</v>
      </c>
      <c r="K207" s="125" t="s">
        <v>21</v>
      </c>
      <c r="L207" s="126">
        <v>42310</v>
      </c>
      <c r="M207" s="126" t="str">
        <f ca="1" t="shared" si="8"/>
        <v>10年2个月</v>
      </c>
      <c r="N207" s="183" t="s">
        <v>2552</v>
      </c>
      <c r="O207" s="125" t="s">
        <v>782</v>
      </c>
      <c r="P207" s="128">
        <v>34591</v>
      </c>
      <c r="Q207" s="125">
        <f ca="1">IF(N207="","",IF(AND(LEN(N207)&lt;&gt;15,LEN(N207)&lt;&gt;18),"错误",ROUNDDOWN((NOW()-P207)/365,0)))</f>
        <v>31</v>
      </c>
      <c r="R207" s="155" t="s">
        <v>784</v>
      </c>
      <c r="S207" s="125" t="s">
        <v>785</v>
      </c>
      <c r="T207" s="125" t="s">
        <v>1002</v>
      </c>
      <c r="U207" s="125" t="s">
        <v>1388</v>
      </c>
      <c r="V207" s="125" t="s">
        <v>2553</v>
      </c>
      <c r="W207" s="125" t="s">
        <v>1054</v>
      </c>
      <c r="X207" s="125" t="s">
        <v>1006</v>
      </c>
      <c r="Y207" s="125" t="s">
        <v>1031</v>
      </c>
      <c r="Z207" s="125" t="s">
        <v>824</v>
      </c>
      <c r="AA207" s="156">
        <v>42917</v>
      </c>
      <c r="AB207" s="176">
        <v>13161910697</v>
      </c>
      <c r="AC207" s="127" t="s">
        <v>2554</v>
      </c>
      <c r="AD207" s="178" t="s">
        <v>2555</v>
      </c>
      <c r="AE207" s="136" t="s">
        <v>2556</v>
      </c>
      <c r="AF207" s="157" t="s">
        <v>2557</v>
      </c>
      <c r="AG207" s="136" t="s">
        <v>1498</v>
      </c>
      <c r="AH207" s="157">
        <v>18505555325</v>
      </c>
      <c r="AI207" s="136" t="s">
        <v>1035</v>
      </c>
      <c r="AJ207" s="136" t="s">
        <v>1439</v>
      </c>
      <c r="AK207" s="136"/>
      <c r="AL207" s="126"/>
      <c r="AM207" s="128"/>
      <c r="AN207" s="135"/>
      <c r="AO207" s="125"/>
      <c r="AP207" s="125"/>
      <c r="AQ207" s="123" t="s">
        <v>23</v>
      </c>
    </row>
    <row r="208" customHeight="1" spans="1:45">
      <c r="A208" s="122">
        <v>207</v>
      </c>
      <c r="B208" s="140">
        <v>42692</v>
      </c>
      <c r="C208" s="139" t="s">
        <v>1026</v>
      </c>
      <c r="D208" s="122" t="s">
        <v>2558</v>
      </c>
      <c r="E208" s="139" t="s">
        <v>1115</v>
      </c>
      <c r="F208" s="141" t="s">
        <v>2559</v>
      </c>
      <c r="G208" s="137" t="s">
        <v>1772</v>
      </c>
      <c r="H208" s="137" t="s">
        <v>2560</v>
      </c>
      <c r="I208" s="139" t="s">
        <v>2427</v>
      </c>
      <c r="J208" s="139" t="s">
        <v>803</v>
      </c>
      <c r="K208" s="139" t="s">
        <v>21</v>
      </c>
      <c r="L208" s="142">
        <v>42205</v>
      </c>
      <c r="M208" s="139" t="str">
        <f ca="1" t="shared" si="8"/>
        <v>10年6个月</v>
      </c>
      <c r="N208" s="181" t="s">
        <v>2561</v>
      </c>
      <c r="O208" s="139" t="s">
        <v>782</v>
      </c>
      <c r="P208" s="142">
        <v>33308</v>
      </c>
      <c r="Q208" s="143">
        <f ca="1">IF(N208="","",IF(AND(LEN(N208)&lt;&gt;15,LEN(N208)&lt;&gt;18),"错误",ROUNDDOWN((NOW()-P208)/365,0)))</f>
        <v>34</v>
      </c>
      <c r="R208" s="151" t="s">
        <v>1001</v>
      </c>
      <c r="S208" s="139" t="s">
        <v>785</v>
      </c>
      <c r="T208" s="139" t="s">
        <v>1002</v>
      </c>
      <c r="U208" s="139" t="s">
        <v>2562</v>
      </c>
      <c r="V208" s="139" t="s">
        <v>2563</v>
      </c>
      <c r="W208" s="139" t="s">
        <v>1005</v>
      </c>
      <c r="X208" s="139" t="s">
        <v>1006</v>
      </c>
      <c r="Y208" s="139" t="s">
        <v>2234</v>
      </c>
      <c r="Z208" s="139" t="s">
        <v>2564</v>
      </c>
      <c r="AA208" s="152">
        <v>41456</v>
      </c>
      <c r="AB208" s="143">
        <v>15801186272</v>
      </c>
      <c r="AC208" s="141" t="s">
        <v>2565</v>
      </c>
      <c r="AD208" s="149" t="s">
        <v>2566</v>
      </c>
      <c r="AE208" s="149" t="s">
        <v>2567</v>
      </c>
      <c r="AF208" s="153" t="s">
        <v>2568</v>
      </c>
      <c r="AG208" s="149" t="s">
        <v>1716</v>
      </c>
      <c r="AH208" s="153">
        <v>18600511838</v>
      </c>
      <c r="AI208" s="149" t="s">
        <v>1060</v>
      </c>
      <c r="AJ208" s="149"/>
      <c r="AK208" s="149"/>
      <c r="AL208" s="142">
        <f>L208</f>
        <v>42205</v>
      </c>
      <c r="AM208" s="142">
        <f>EDATE(AL208,36)-1</f>
        <v>43300</v>
      </c>
      <c r="AN208" s="148">
        <f ca="1">ROUND(AM208-NOW(),0)</f>
        <v>-2752</v>
      </c>
      <c r="AO208" s="139"/>
      <c r="AP208" s="139"/>
      <c r="AQ208" s="137" t="s">
        <v>23</v>
      </c>
    </row>
    <row r="209" customHeight="1" spans="1:43">
      <c r="A209" s="122">
        <v>208</v>
      </c>
      <c r="B209" s="140">
        <v>42692</v>
      </c>
      <c r="C209" s="139" t="s">
        <v>1013</v>
      </c>
      <c r="D209" s="122" t="s">
        <v>2569</v>
      </c>
      <c r="E209" s="122" t="s">
        <v>2570</v>
      </c>
      <c r="F209" s="141" t="s">
        <v>2571</v>
      </c>
      <c r="G209" s="141" t="s">
        <v>1530</v>
      </c>
      <c r="H209" s="141" t="s">
        <v>2572</v>
      </c>
      <c r="I209" s="139" t="s">
        <v>2573</v>
      </c>
      <c r="J209" s="139" t="s">
        <v>1227</v>
      </c>
      <c r="K209" s="139" t="s">
        <v>227</v>
      </c>
      <c r="L209" s="140">
        <v>42457</v>
      </c>
      <c r="M209" s="139" t="s">
        <v>2239</v>
      </c>
      <c r="N209" s="181" t="s">
        <v>2574</v>
      </c>
      <c r="O209" s="139" t="s">
        <v>782</v>
      </c>
      <c r="P209" s="142">
        <v>33945</v>
      </c>
      <c r="Q209" s="143">
        <v>24</v>
      </c>
      <c r="R209" s="151" t="s">
        <v>1001</v>
      </c>
      <c r="S209" s="139" t="s">
        <v>785</v>
      </c>
      <c r="T209" s="139" t="s">
        <v>1002</v>
      </c>
      <c r="U209" s="139" t="s">
        <v>2065</v>
      </c>
      <c r="V209" s="139" t="s">
        <v>2575</v>
      </c>
      <c r="W209" s="139" t="s">
        <v>1054</v>
      </c>
      <c r="X209" s="139" t="s">
        <v>789</v>
      </c>
      <c r="Y209" s="139" t="s">
        <v>2576</v>
      </c>
      <c r="Z209" s="139" t="s">
        <v>2577</v>
      </c>
      <c r="AA209" s="222"/>
      <c r="AB209" s="223">
        <v>18815274665</v>
      </c>
      <c r="AC209" s="211" t="s">
        <v>2578</v>
      </c>
      <c r="AD209" s="149" t="s">
        <v>2579</v>
      </c>
      <c r="AE209" s="149" t="s">
        <v>2580</v>
      </c>
      <c r="AF209" s="153" t="s">
        <v>2581</v>
      </c>
      <c r="AG209" s="149" t="s">
        <v>1011</v>
      </c>
      <c r="AH209" s="153">
        <v>13587801182</v>
      </c>
      <c r="AI209" s="149" t="s">
        <v>1087</v>
      </c>
      <c r="AJ209" s="149"/>
      <c r="AK209" s="149"/>
      <c r="AL209" s="142">
        <v>42457</v>
      </c>
      <c r="AM209" s="142">
        <v>43187</v>
      </c>
      <c r="AN209" s="148">
        <f ca="1">ROUND(AM209-NOW(),0)</f>
        <v>-2865</v>
      </c>
      <c r="AO209" s="139"/>
      <c r="AP209" s="139"/>
      <c r="AQ209" s="137" t="s">
        <v>23</v>
      </c>
    </row>
    <row r="210" customHeight="1" spans="1:43">
      <c r="A210" s="122">
        <v>209</v>
      </c>
      <c r="B210" s="140">
        <v>42699</v>
      </c>
      <c r="C210" s="139" t="s">
        <v>1013</v>
      </c>
      <c r="D210" s="122" t="s">
        <v>2582</v>
      </c>
      <c r="E210" s="139" t="s">
        <v>1015</v>
      </c>
      <c r="F210" s="141" t="s">
        <v>2583</v>
      </c>
      <c r="G210" s="137" t="s">
        <v>1224</v>
      </c>
      <c r="H210" s="137" t="s">
        <v>2077</v>
      </c>
      <c r="I210" s="139" t="s">
        <v>2584</v>
      </c>
      <c r="J210" s="139" t="s">
        <v>803</v>
      </c>
      <c r="K210" s="139" t="s">
        <v>21</v>
      </c>
      <c r="L210" s="142">
        <v>42576</v>
      </c>
      <c r="M210" s="139" t="str">
        <f ca="1" t="shared" ref="M210:M215" si="10">IF(L210="","",DATEDIF(L210,NOW(),"Y")&amp;"年"&amp;MOD(DATEDIF(L210,NOW(),"M"),12)&amp;"个月")</f>
        <v>9年6个月</v>
      </c>
      <c r="N210" s="181" t="s">
        <v>2585</v>
      </c>
      <c r="O210" s="139" t="s">
        <v>782</v>
      </c>
      <c r="P210" s="142">
        <v>33122</v>
      </c>
      <c r="Q210" s="143">
        <v>25</v>
      </c>
      <c r="R210" s="151" t="s">
        <v>1001</v>
      </c>
      <c r="S210" s="139" t="s">
        <v>785</v>
      </c>
      <c r="T210" s="139" t="s">
        <v>1002</v>
      </c>
      <c r="U210" s="139" t="s">
        <v>2586</v>
      </c>
      <c r="V210" s="139" t="s">
        <v>2587</v>
      </c>
      <c r="W210" s="139" t="s">
        <v>1054</v>
      </c>
      <c r="X210" s="139" t="s">
        <v>1006</v>
      </c>
      <c r="Y210" s="139" t="s">
        <v>2588</v>
      </c>
      <c r="Z210" s="139" t="s">
        <v>1667</v>
      </c>
      <c r="AA210" s="152">
        <v>39965</v>
      </c>
      <c r="AB210" s="143">
        <v>15311486182</v>
      </c>
      <c r="AC210" s="141" t="s">
        <v>2589</v>
      </c>
      <c r="AD210" s="149" t="s">
        <v>2590</v>
      </c>
      <c r="AE210" s="149" t="s">
        <v>2591</v>
      </c>
      <c r="AF210" s="153" t="s">
        <v>2592</v>
      </c>
      <c r="AG210" s="149" t="s">
        <v>1046</v>
      </c>
      <c r="AH210" s="153">
        <v>13034164045</v>
      </c>
      <c r="AI210" s="149" t="s">
        <v>1060</v>
      </c>
      <c r="AJ210" s="149">
        <v>0</v>
      </c>
      <c r="AK210" s="149"/>
      <c r="AL210" s="142">
        <v>42576</v>
      </c>
      <c r="AM210" s="142">
        <f>EDATE(AL210,36)-1</f>
        <v>43670</v>
      </c>
      <c r="AN210" s="148">
        <f ca="1">ROUND(AM210-NOW(),0)</f>
        <v>-2382</v>
      </c>
      <c r="AO210" s="139"/>
      <c r="AP210" s="139"/>
      <c r="AQ210" s="137" t="s">
        <v>23</v>
      </c>
    </row>
    <row r="211" customHeight="1" spans="1:43">
      <c r="A211" s="122">
        <v>210</v>
      </c>
      <c r="B211" s="126">
        <v>42706</v>
      </c>
      <c r="C211" s="125" t="s">
        <v>1026</v>
      </c>
      <c r="D211" s="132" t="s">
        <v>2043</v>
      </c>
      <c r="E211" s="132" t="s">
        <v>997</v>
      </c>
      <c r="F211" s="127" t="s">
        <v>2593</v>
      </c>
      <c r="G211" s="123" t="s">
        <v>1224</v>
      </c>
      <c r="H211" s="123" t="s">
        <v>2594</v>
      </c>
      <c r="I211" s="125" t="s">
        <v>27</v>
      </c>
      <c r="J211" s="125" t="s">
        <v>803</v>
      </c>
      <c r="K211" s="125" t="s">
        <v>21</v>
      </c>
      <c r="L211" s="126">
        <v>42569</v>
      </c>
      <c r="M211" s="126" t="str">
        <f ca="1" t="shared" si="10"/>
        <v>9年6个月</v>
      </c>
      <c r="N211" s="183" t="s">
        <v>2595</v>
      </c>
      <c r="O211" s="125" t="s">
        <v>782</v>
      </c>
      <c r="P211" s="128">
        <v>35360</v>
      </c>
      <c r="Q211" s="125">
        <v>19</v>
      </c>
      <c r="R211" s="155" t="s">
        <v>1001</v>
      </c>
      <c r="S211" s="125" t="s">
        <v>785</v>
      </c>
      <c r="T211" s="125" t="s">
        <v>1002</v>
      </c>
      <c r="U211" s="125" t="s">
        <v>2596</v>
      </c>
      <c r="V211" s="125" t="s">
        <v>2597</v>
      </c>
      <c r="W211" s="125" t="s">
        <v>1005</v>
      </c>
      <c r="X211" s="125" t="s">
        <v>1006</v>
      </c>
      <c r="Y211" s="125" t="s">
        <v>1031</v>
      </c>
      <c r="Z211" s="125" t="s">
        <v>1056</v>
      </c>
      <c r="AA211" s="156">
        <v>43282</v>
      </c>
      <c r="AB211" s="176">
        <v>18401653035</v>
      </c>
      <c r="AC211" s="127" t="s">
        <v>2598</v>
      </c>
      <c r="AD211" s="178" t="s">
        <v>2599</v>
      </c>
      <c r="AE211" s="136" t="s">
        <v>2600</v>
      </c>
      <c r="AF211" s="157" t="s">
        <v>2601</v>
      </c>
      <c r="AG211" s="136" t="s">
        <v>1137</v>
      </c>
      <c r="AH211" s="157">
        <v>15835288223</v>
      </c>
      <c r="AI211" s="136" t="s">
        <v>1035</v>
      </c>
      <c r="AJ211" s="136" t="s">
        <v>401</v>
      </c>
      <c r="AK211" s="136"/>
      <c r="AL211" s="126"/>
      <c r="AM211" s="128"/>
      <c r="AN211" s="135"/>
      <c r="AO211" s="125"/>
      <c r="AP211" s="125"/>
      <c r="AQ211" s="123"/>
    </row>
    <row r="212" customHeight="1" spans="1:43">
      <c r="A212" s="122">
        <v>211</v>
      </c>
      <c r="B212" s="126">
        <v>42712</v>
      </c>
      <c r="C212" s="125" t="s">
        <v>1026</v>
      </c>
      <c r="D212" s="132" t="s">
        <v>2043</v>
      </c>
      <c r="E212" s="132" t="s">
        <v>997</v>
      </c>
      <c r="F212" s="127" t="s">
        <v>2602</v>
      </c>
      <c r="G212" s="123" t="s">
        <v>1797</v>
      </c>
      <c r="H212" s="123" t="s">
        <v>2603</v>
      </c>
      <c r="I212" s="125" t="s">
        <v>27</v>
      </c>
      <c r="J212" s="125" t="s">
        <v>803</v>
      </c>
      <c r="K212" s="125" t="s">
        <v>21</v>
      </c>
      <c r="L212" s="126">
        <v>42688</v>
      </c>
      <c r="M212" s="126" t="str">
        <f ca="1" t="shared" si="10"/>
        <v>9年2个月</v>
      </c>
      <c r="N212" s="183" t="s">
        <v>2604</v>
      </c>
      <c r="O212" s="125" t="s">
        <v>794</v>
      </c>
      <c r="P212" s="128">
        <v>35107</v>
      </c>
      <c r="Q212" s="125">
        <v>20</v>
      </c>
      <c r="R212" s="155" t="s">
        <v>2605</v>
      </c>
      <c r="S212" s="125" t="s">
        <v>785</v>
      </c>
      <c r="T212" s="125" t="s">
        <v>1002</v>
      </c>
      <c r="U212" s="125" t="s">
        <v>2193</v>
      </c>
      <c r="V212" s="125" t="s">
        <v>2606</v>
      </c>
      <c r="W212" s="125" t="s">
        <v>1005</v>
      </c>
      <c r="X212" s="125" t="s">
        <v>1006</v>
      </c>
      <c r="Y212" s="125" t="s">
        <v>1109</v>
      </c>
      <c r="Z212" s="125" t="s">
        <v>1813</v>
      </c>
      <c r="AA212" s="156">
        <v>42887</v>
      </c>
      <c r="AB212" s="176">
        <v>18811185006</v>
      </c>
      <c r="AC212" s="127" t="s">
        <v>2607</v>
      </c>
      <c r="AD212" s="178" t="s">
        <v>2608</v>
      </c>
      <c r="AE212" s="136" t="s">
        <v>2609</v>
      </c>
      <c r="AF212" s="157" t="s">
        <v>2610</v>
      </c>
      <c r="AG212" s="136" t="s">
        <v>1406</v>
      </c>
      <c r="AH212" s="157">
        <v>18811180700</v>
      </c>
      <c r="AI212" s="136" t="s">
        <v>1035</v>
      </c>
      <c r="AJ212" s="136" t="s">
        <v>488</v>
      </c>
      <c r="AK212" s="136" t="s">
        <v>2611</v>
      </c>
      <c r="AL212" s="126"/>
      <c r="AM212" s="128"/>
      <c r="AN212" s="135"/>
      <c r="AO212" s="125"/>
      <c r="AP212" s="125"/>
      <c r="AQ212" s="123"/>
    </row>
    <row r="213" customHeight="1" spans="1:43">
      <c r="A213" s="122">
        <v>212</v>
      </c>
      <c r="B213" s="140">
        <v>42719</v>
      </c>
      <c r="C213" s="139" t="s">
        <v>1026</v>
      </c>
      <c r="D213" s="122" t="s">
        <v>2612</v>
      </c>
      <c r="E213" s="139" t="s">
        <v>1115</v>
      </c>
      <c r="F213" s="141" t="s">
        <v>2613</v>
      </c>
      <c r="G213" s="137" t="s">
        <v>1566</v>
      </c>
      <c r="H213" s="137" t="s">
        <v>2350</v>
      </c>
      <c r="I213" s="139" t="s">
        <v>2614</v>
      </c>
      <c r="J213" s="139" t="s">
        <v>803</v>
      </c>
      <c r="K213" s="139" t="s">
        <v>21</v>
      </c>
      <c r="L213" s="142">
        <v>42594</v>
      </c>
      <c r="M213" s="139" t="str">
        <f ca="1" t="shared" si="10"/>
        <v>9年5个月</v>
      </c>
      <c r="N213" s="181" t="s">
        <v>2615</v>
      </c>
      <c r="O213" s="139" t="s">
        <v>794</v>
      </c>
      <c r="P213" s="142">
        <v>31567</v>
      </c>
      <c r="Q213" s="143">
        <v>30</v>
      </c>
      <c r="R213" s="151" t="s">
        <v>1001</v>
      </c>
      <c r="S213" s="139" t="s">
        <v>785</v>
      </c>
      <c r="T213" s="139" t="s">
        <v>1002</v>
      </c>
      <c r="U213" s="139" t="s">
        <v>2616</v>
      </c>
      <c r="V213" s="139" t="s">
        <v>2617</v>
      </c>
      <c r="W213" s="139" t="s">
        <v>1005</v>
      </c>
      <c r="X213" s="139" t="s">
        <v>1006</v>
      </c>
      <c r="Y213" s="139" t="s">
        <v>2618</v>
      </c>
      <c r="Z213" s="139" t="s">
        <v>2619</v>
      </c>
      <c r="AA213" s="152">
        <v>39965</v>
      </c>
      <c r="AB213" s="143">
        <v>15901117892</v>
      </c>
      <c r="AC213" s="141" t="s">
        <v>2620</v>
      </c>
      <c r="AD213" s="149" t="s">
        <v>2621</v>
      </c>
      <c r="AE213" s="149" t="s">
        <v>2622</v>
      </c>
      <c r="AF213" s="153" t="s">
        <v>2623</v>
      </c>
      <c r="AG213" s="149" t="s">
        <v>2624</v>
      </c>
      <c r="AH213" s="153">
        <v>17701279698</v>
      </c>
      <c r="AI213" s="149" t="s">
        <v>1035</v>
      </c>
      <c r="AJ213" s="149" t="s">
        <v>2522</v>
      </c>
      <c r="AK213" s="149" t="s">
        <v>2625</v>
      </c>
      <c r="AL213" s="142">
        <v>42594</v>
      </c>
      <c r="AM213" s="142">
        <f>EDATE(AL213,36)-1</f>
        <v>43688</v>
      </c>
      <c r="AN213" s="148">
        <f ca="1" t="shared" ref="AN213:AN219" si="11">ROUND(AM213-NOW(),0)</f>
        <v>-2364</v>
      </c>
      <c r="AO213" s="139"/>
      <c r="AP213" s="139"/>
      <c r="AQ213" s="137" t="s">
        <v>23</v>
      </c>
    </row>
    <row r="214" customHeight="1" spans="1:43">
      <c r="A214" s="122">
        <v>213</v>
      </c>
      <c r="B214" s="140">
        <v>42734</v>
      </c>
      <c r="C214" s="139" t="s">
        <v>1013</v>
      </c>
      <c r="D214" s="122"/>
      <c r="E214" s="139"/>
      <c r="F214" s="141" t="s">
        <v>2626</v>
      </c>
      <c r="G214" s="137" t="s">
        <v>1566</v>
      </c>
      <c r="H214" s="137" t="s">
        <v>2350</v>
      </c>
      <c r="I214" s="139" t="s">
        <v>2627</v>
      </c>
      <c r="J214" s="139" t="s">
        <v>803</v>
      </c>
      <c r="K214" s="139" t="s">
        <v>21</v>
      </c>
      <c r="L214" s="142">
        <v>42191</v>
      </c>
      <c r="M214" s="139" t="str">
        <f ca="1" t="shared" si="10"/>
        <v>10年6个月</v>
      </c>
      <c r="N214" s="181" t="s">
        <v>2628</v>
      </c>
      <c r="O214" s="139" t="s">
        <v>782</v>
      </c>
      <c r="P214" s="142">
        <v>28705</v>
      </c>
      <c r="Q214" s="143">
        <f ca="1">IF(N214="","",IF(AND(LEN(N214)&lt;&gt;15,LEN(N214)&lt;&gt;18),"错误",ROUNDDOWN((NOW()-P214)/365,0)))</f>
        <v>47</v>
      </c>
      <c r="R214" s="151" t="s">
        <v>784</v>
      </c>
      <c r="S214" s="139" t="s">
        <v>879</v>
      </c>
      <c r="T214" s="139" t="s">
        <v>1051</v>
      </c>
      <c r="U214" s="139" t="s">
        <v>1830</v>
      </c>
      <c r="V214" s="139" t="s">
        <v>2629</v>
      </c>
      <c r="W214" s="139" t="s">
        <v>1005</v>
      </c>
      <c r="X214" s="139" t="s">
        <v>974</v>
      </c>
      <c r="Y214" s="139" t="s">
        <v>2630</v>
      </c>
      <c r="Z214" s="139" t="s">
        <v>2631</v>
      </c>
      <c r="AA214" s="152">
        <v>37438</v>
      </c>
      <c r="AB214" s="143">
        <v>18611318817</v>
      </c>
      <c r="AC214" s="141" t="s">
        <v>2632</v>
      </c>
      <c r="AD214" s="149" t="s">
        <v>2633</v>
      </c>
      <c r="AE214" s="149" t="s">
        <v>2634</v>
      </c>
      <c r="AF214" s="153" t="s">
        <v>2635</v>
      </c>
      <c r="AG214" s="149" t="s">
        <v>1059</v>
      </c>
      <c r="AH214" s="153">
        <v>18611403121</v>
      </c>
      <c r="AI214" s="149" t="s">
        <v>1604</v>
      </c>
      <c r="AJ214" s="149" t="s">
        <v>1879</v>
      </c>
      <c r="AK214" s="149"/>
      <c r="AL214" s="142">
        <f>L214</f>
        <v>42191</v>
      </c>
      <c r="AM214" s="142">
        <f>EDATE(AL214,36)-1</f>
        <v>43286</v>
      </c>
      <c r="AN214" s="148">
        <f ca="1" t="shared" si="11"/>
        <v>-2766</v>
      </c>
      <c r="AO214" s="139"/>
      <c r="AP214" s="139"/>
      <c r="AQ214" s="137" t="s">
        <v>23</v>
      </c>
    </row>
    <row r="215" customHeight="1" spans="1:43">
      <c r="A215" s="122">
        <v>214</v>
      </c>
      <c r="B215" s="140">
        <v>42734</v>
      </c>
      <c r="C215" s="139" t="s">
        <v>1026</v>
      </c>
      <c r="D215" s="122" t="s">
        <v>2636</v>
      </c>
      <c r="E215" s="122" t="s">
        <v>2570</v>
      </c>
      <c r="F215" s="141" t="s">
        <v>2637</v>
      </c>
      <c r="G215" s="141" t="s">
        <v>1530</v>
      </c>
      <c r="H215" s="137" t="s">
        <v>2572</v>
      </c>
      <c r="I215" s="139" t="s">
        <v>276</v>
      </c>
      <c r="J215" s="139" t="s">
        <v>1227</v>
      </c>
      <c r="K215" s="139" t="s">
        <v>227</v>
      </c>
      <c r="L215" s="142">
        <v>42711</v>
      </c>
      <c r="M215" s="139" t="str">
        <f ca="1" t="shared" si="10"/>
        <v>9年1个月</v>
      </c>
      <c r="N215" s="181" t="s">
        <v>2638</v>
      </c>
      <c r="O215" s="139" t="s">
        <v>782</v>
      </c>
      <c r="P215" s="142">
        <v>32183</v>
      </c>
      <c r="Q215" s="143">
        <v>28</v>
      </c>
      <c r="R215" s="151" t="s">
        <v>1001</v>
      </c>
      <c r="S215" s="139" t="s">
        <v>879</v>
      </c>
      <c r="T215" s="139" t="s">
        <v>1051</v>
      </c>
      <c r="U215" s="139" t="s">
        <v>1464</v>
      </c>
      <c r="V215" s="139" t="s">
        <v>2639</v>
      </c>
      <c r="W215" s="139" t="s">
        <v>1054</v>
      </c>
      <c r="X215" s="139" t="s">
        <v>2640</v>
      </c>
      <c r="Y215" s="139" t="s">
        <v>2641</v>
      </c>
      <c r="Z215" s="139" t="s">
        <v>2023</v>
      </c>
      <c r="AA215" s="152">
        <v>38530</v>
      </c>
      <c r="AB215" s="143">
        <v>18668055562</v>
      </c>
      <c r="AC215" s="141" t="s">
        <v>2642</v>
      </c>
      <c r="AD215" s="149" t="s">
        <v>2643</v>
      </c>
      <c r="AE215" s="149" t="s">
        <v>2644</v>
      </c>
      <c r="AF215" s="153" t="s">
        <v>2645</v>
      </c>
      <c r="AG215" s="149" t="s">
        <v>1059</v>
      </c>
      <c r="AH215" s="153">
        <v>18668055562</v>
      </c>
      <c r="AI215" s="149" t="s">
        <v>1060</v>
      </c>
      <c r="AJ215" s="149">
        <v>0</v>
      </c>
      <c r="AK215" s="149" t="s">
        <v>2646</v>
      </c>
      <c r="AL215" s="142">
        <v>42711</v>
      </c>
      <c r="AM215" s="142">
        <f>EDATE(AL215,36)</f>
        <v>43806</v>
      </c>
      <c r="AN215" s="148">
        <f ca="1" t="shared" si="11"/>
        <v>-2246</v>
      </c>
      <c r="AO215" s="139"/>
      <c r="AP215" s="139"/>
      <c r="AQ215" s="137"/>
    </row>
    <row r="216" customHeight="1" spans="1:43">
      <c r="A216" s="122">
        <v>215</v>
      </c>
      <c r="B216" s="140">
        <v>42740</v>
      </c>
      <c r="C216" s="139" t="s">
        <v>1013</v>
      </c>
      <c r="D216" s="122" t="s">
        <v>2647</v>
      </c>
      <c r="E216" s="122" t="s">
        <v>2570</v>
      </c>
      <c r="F216" s="141" t="s">
        <v>2648</v>
      </c>
      <c r="G216" s="141" t="s">
        <v>1530</v>
      </c>
      <c r="H216" s="137" t="s">
        <v>2454</v>
      </c>
      <c r="I216" s="139" t="s">
        <v>1018</v>
      </c>
      <c r="J216" s="139" t="s">
        <v>1227</v>
      </c>
      <c r="K216" s="139" t="s">
        <v>2649</v>
      </c>
      <c r="L216" s="142">
        <v>42551</v>
      </c>
      <c r="M216" s="139" t="s">
        <v>2650</v>
      </c>
      <c r="N216" s="181" t="s">
        <v>2651</v>
      </c>
      <c r="O216" s="139" t="s">
        <v>782</v>
      </c>
      <c r="P216" s="142">
        <v>33013</v>
      </c>
      <c r="Q216" s="143">
        <v>26</v>
      </c>
      <c r="R216" s="151" t="s">
        <v>1001</v>
      </c>
      <c r="S216" s="139" t="s">
        <v>785</v>
      </c>
      <c r="T216" s="139" t="s">
        <v>1002</v>
      </c>
      <c r="U216" s="139" t="s">
        <v>2652</v>
      </c>
      <c r="V216" s="139" t="s">
        <v>2653</v>
      </c>
      <c r="W216" s="139" t="s">
        <v>1054</v>
      </c>
      <c r="X216" s="139" t="s">
        <v>798</v>
      </c>
      <c r="Y216" s="139" t="s">
        <v>2654</v>
      </c>
      <c r="Z216" s="139" t="s">
        <v>1667</v>
      </c>
      <c r="AA216" s="152"/>
      <c r="AB216" s="143" t="s">
        <v>2655</v>
      </c>
      <c r="AC216" s="141" t="s">
        <v>2656</v>
      </c>
      <c r="AD216" s="149" t="s">
        <v>2657</v>
      </c>
      <c r="AE216" s="149" t="s">
        <v>2658</v>
      </c>
      <c r="AF216" s="153" t="s">
        <v>2659</v>
      </c>
      <c r="AG216" s="149" t="s">
        <v>1137</v>
      </c>
      <c r="AH216" s="153">
        <v>15765899531</v>
      </c>
      <c r="AI216" s="149" t="s">
        <v>1035</v>
      </c>
      <c r="AJ216" s="149" t="s">
        <v>2660</v>
      </c>
      <c r="AK216" s="149"/>
      <c r="AL216" s="142">
        <v>42551</v>
      </c>
      <c r="AM216" s="142">
        <v>42945</v>
      </c>
      <c r="AN216" s="148">
        <f ca="1" t="shared" si="11"/>
        <v>-3107</v>
      </c>
      <c r="AO216" s="139"/>
      <c r="AP216" s="139"/>
      <c r="AQ216" s="137" t="s">
        <v>23</v>
      </c>
    </row>
    <row r="217" customHeight="1" spans="1:43">
      <c r="A217" s="122">
        <v>216</v>
      </c>
      <c r="B217" s="140">
        <v>42740</v>
      </c>
      <c r="C217" s="139" t="s">
        <v>1013</v>
      </c>
      <c r="D217" s="122" t="s">
        <v>2661</v>
      </c>
      <c r="E217" s="122" t="s">
        <v>2570</v>
      </c>
      <c r="F217" s="141" t="s">
        <v>2662</v>
      </c>
      <c r="G217" s="141" t="s">
        <v>1530</v>
      </c>
      <c r="H217" s="137" t="s">
        <v>2572</v>
      </c>
      <c r="I217" s="139" t="s">
        <v>208</v>
      </c>
      <c r="J217" s="139" t="s">
        <v>1071</v>
      </c>
      <c r="K217" s="139" t="s">
        <v>227</v>
      </c>
      <c r="L217" s="142">
        <v>42408</v>
      </c>
      <c r="M217" s="139" t="s">
        <v>2663</v>
      </c>
      <c r="N217" s="181" t="s">
        <v>2664</v>
      </c>
      <c r="O217" s="139" t="s">
        <v>782</v>
      </c>
      <c r="P217" s="142">
        <v>30634</v>
      </c>
      <c r="Q217" s="143">
        <v>33</v>
      </c>
      <c r="R217" s="151" t="s">
        <v>1001</v>
      </c>
      <c r="S217" s="139" t="s">
        <v>879</v>
      </c>
      <c r="T217" s="139" t="s">
        <v>1002</v>
      </c>
      <c r="U217" s="139" t="s">
        <v>2665</v>
      </c>
      <c r="V217" s="139" t="s">
        <v>2666</v>
      </c>
      <c r="W217" s="139" t="s">
        <v>1005</v>
      </c>
      <c r="X217" s="139" t="s">
        <v>789</v>
      </c>
      <c r="Y217" s="139" t="s">
        <v>2667</v>
      </c>
      <c r="Z217" s="139" t="s">
        <v>2259</v>
      </c>
      <c r="AA217" s="152"/>
      <c r="AB217" s="143">
        <v>13357199639</v>
      </c>
      <c r="AC217" s="141" t="s">
        <v>2668</v>
      </c>
      <c r="AD217" s="149" t="s">
        <v>2669</v>
      </c>
      <c r="AE217" s="149" t="s">
        <v>2670</v>
      </c>
      <c r="AF217" s="153" t="s">
        <v>2671</v>
      </c>
      <c r="AG217" s="149" t="s">
        <v>1167</v>
      </c>
      <c r="AH217" s="153">
        <v>18668185195</v>
      </c>
      <c r="AI217" s="149" t="s">
        <v>1084</v>
      </c>
      <c r="AJ217" s="149"/>
      <c r="AK217" s="149"/>
      <c r="AL217" s="142">
        <v>42408</v>
      </c>
      <c r="AM217" s="142">
        <v>43138</v>
      </c>
      <c r="AN217" s="148">
        <f ca="1" t="shared" si="11"/>
        <v>-2914</v>
      </c>
      <c r="AO217" s="139"/>
      <c r="AP217" s="139"/>
      <c r="AQ217" s="137"/>
    </row>
    <row r="218" customHeight="1" spans="1:43">
      <c r="A218" s="122">
        <v>217</v>
      </c>
      <c r="B218" s="140">
        <v>42741</v>
      </c>
      <c r="C218" s="139" t="s">
        <v>1026</v>
      </c>
      <c r="D218" s="224" t="s">
        <v>2672</v>
      </c>
      <c r="E218" s="139" t="s">
        <v>1115</v>
      </c>
      <c r="F218" s="141" t="s">
        <v>2673</v>
      </c>
      <c r="G218" s="137" t="s">
        <v>1224</v>
      </c>
      <c r="H218" s="137" t="s">
        <v>2674</v>
      </c>
      <c r="I218" s="139" t="s">
        <v>2675</v>
      </c>
      <c r="J218" s="139" t="s">
        <v>803</v>
      </c>
      <c r="K218" s="139" t="s">
        <v>21</v>
      </c>
      <c r="L218" s="142">
        <v>42094</v>
      </c>
      <c r="M218" s="139" t="str">
        <f ca="1">IF(L218="","",DATEDIF(L218,NOW(),"Y")&amp;"年"&amp;MOD(DATEDIF(L218,NOW(),"M"),12)&amp;"个月")</f>
        <v>10年9个月</v>
      </c>
      <c r="N218" s="181" t="s">
        <v>2676</v>
      </c>
      <c r="O218" s="139" t="s">
        <v>782</v>
      </c>
      <c r="P218" s="142">
        <v>33740</v>
      </c>
      <c r="Q218" s="143">
        <f ca="1">IF(N218="","",IF(AND(LEN(N218)&lt;&gt;15,LEN(N218)&lt;&gt;18),"错误",ROUNDDOWN((NOW()-P218)/365,0)))</f>
        <v>33</v>
      </c>
      <c r="R218" s="151" t="s">
        <v>1001</v>
      </c>
      <c r="S218" s="139" t="s">
        <v>785</v>
      </c>
      <c r="T218" s="139" t="s">
        <v>1002</v>
      </c>
      <c r="U218" s="139" t="s">
        <v>1199</v>
      </c>
      <c r="V218" s="139" t="s">
        <v>2677</v>
      </c>
      <c r="W218" s="139" t="s">
        <v>1005</v>
      </c>
      <c r="X218" s="139" t="s">
        <v>1006</v>
      </c>
      <c r="Y218" s="139" t="s">
        <v>1031</v>
      </c>
      <c r="Z218" s="139" t="s">
        <v>824</v>
      </c>
      <c r="AA218" s="152">
        <v>42186</v>
      </c>
      <c r="AB218" s="143">
        <v>18610112787</v>
      </c>
      <c r="AC218" s="141" t="s">
        <v>2678</v>
      </c>
      <c r="AD218" s="149" t="s">
        <v>2679</v>
      </c>
      <c r="AE218" s="149" t="s">
        <v>2680</v>
      </c>
      <c r="AF218" s="153" t="s">
        <v>2681</v>
      </c>
      <c r="AG218" s="149" t="s">
        <v>1046</v>
      </c>
      <c r="AH218" s="153">
        <v>13975882516</v>
      </c>
      <c r="AI218" s="149" t="s">
        <v>1035</v>
      </c>
      <c r="AJ218" s="149" t="s">
        <v>51</v>
      </c>
      <c r="AK218" s="149"/>
      <c r="AL218" s="142">
        <v>42369</v>
      </c>
      <c r="AM218" s="142">
        <f>EDATE(AL218,36)-1</f>
        <v>43464</v>
      </c>
      <c r="AN218" s="148">
        <f ca="1" t="shared" si="11"/>
        <v>-2588</v>
      </c>
      <c r="AO218" s="139"/>
      <c r="AP218" s="139" t="s">
        <v>2682</v>
      </c>
      <c r="AQ218" s="137"/>
    </row>
    <row r="219" customHeight="1" spans="1:43">
      <c r="A219" s="122">
        <v>218</v>
      </c>
      <c r="B219" s="225">
        <v>42747</v>
      </c>
      <c r="C219" s="226" t="s">
        <v>1026</v>
      </c>
      <c r="D219" s="224" t="s">
        <v>1127</v>
      </c>
      <c r="E219" s="224" t="s">
        <v>1115</v>
      </c>
      <c r="F219" s="212" t="s">
        <v>2683</v>
      </c>
      <c r="G219" s="212" t="s">
        <v>1530</v>
      </c>
      <c r="H219" s="227" t="s">
        <v>2684</v>
      </c>
      <c r="I219" s="226" t="s">
        <v>2685</v>
      </c>
      <c r="J219" s="226" t="s">
        <v>779</v>
      </c>
      <c r="K219" s="226" t="s">
        <v>21</v>
      </c>
      <c r="L219" s="228">
        <v>41740</v>
      </c>
      <c r="M219" s="226" t="str">
        <f ca="1">IF(L219="","",DATEDIF(L219,NOW(),"Y")&amp;"年"&amp;MOD(DATEDIF(L219,NOW(),"M"),12)&amp;"个月")</f>
        <v>11年9个月</v>
      </c>
      <c r="N219" s="229" t="s">
        <v>2686</v>
      </c>
      <c r="O219" s="226" t="str">
        <f>IF(N219="","",IF(AND(LEN(N219)&lt;&gt;15,LEN(N219)&lt;&gt;18),"错误",IF(MOD(IF(LEN(N219)=15,MID(N219,15,1),MID(N219,17,1)),2)=1,"男","女")))</f>
        <v>男</v>
      </c>
      <c r="P219" s="228">
        <f>IF(N219="","",IF(AND(LEN(N219)&lt;&gt;15,LEN(N219)&lt;&gt;18),"错误",IF(LEN(N219)=15,DATE(MID(N219,7,2),MID(N219,9,2),MID(N219,11,2)),DATE(MID(N219,7,4),MID(N219,11,2),MID(N219,13,2)))))</f>
        <v>30945</v>
      </c>
      <c r="Q219" s="230">
        <f ca="1">IF(N219="","",IF(AND(LEN(N219)&lt;&gt;15,LEN(N219)&lt;&gt;18),"错误",ROUNDDOWN((NOW()-P219)/365,0)))</f>
        <v>41</v>
      </c>
      <c r="R219" s="231" t="s">
        <v>1001</v>
      </c>
      <c r="S219" s="226" t="s">
        <v>879</v>
      </c>
      <c r="T219" s="226" t="s">
        <v>1051</v>
      </c>
      <c r="U219" s="226" t="s">
        <v>2687</v>
      </c>
      <c r="V219" s="226" t="s">
        <v>2688</v>
      </c>
      <c r="W219" s="226" t="s">
        <v>786</v>
      </c>
      <c r="X219" s="226" t="s">
        <v>974</v>
      </c>
      <c r="Y219" s="226" t="s">
        <v>2114</v>
      </c>
      <c r="Z219" s="226" t="s">
        <v>2091</v>
      </c>
      <c r="AA219" s="232"/>
      <c r="AB219" s="230">
        <v>15811091327</v>
      </c>
      <c r="AC219" s="212" t="s">
        <v>2689</v>
      </c>
      <c r="AD219" s="233" t="s">
        <v>2690</v>
      </c>
      <c r="AE219" s="233" t="s">
        <v>2688</v>
      </c>
      <c r="AF219" s="234" t="s">
        <v>2691</v>
      </c>
      <c r="AG219" s="233" t="s">
        <v>1059</v>
      </c>
      <c r="AH219" s="234">
        <v>15901100418</v>
      </c>
      <c r="AI219" s="233" t="s">
        <v>1060</v>
      </c>
      <c r="AJ219" s="233"/>
      <c r="AK219" s="233"/>
      <c r="AL219" s="228">
        <v>42470</v>
      </c>
      <c r="AM219" s="228">
        <f>EDATE(AL219,24)-1</f>
        <v>43199</v>
      </c>
      <c r="AN219" s="235">
        <f ca="1" t="shared" si="11"/>
        <v>-2853</v>
      </c>
      <c r="AO219" s="226" t="s">
        <v>2692</v>
      </c>
      <c r="AP219" s="226"/>
      <c r="AQ219" s="227" t="s">
        <v>23</v>
      </c>
    </row>
    <row r="220" customHeight="1" spans="1:43">
      <c r="A220" s="122">
        <v>219</v>
      </c>
      <c r="B220" s="126">
        <v>42747</v>
      </c>
      <c r="C220" s="125" t="s">
        <v>1026</v>
      </c>
      <c r="D220" s="132" t="s">
        <v>2043</v>
      </c>
      <c r="E220" s="132" t="s">
        <v>997</v>
      </c>
      <c r="F220" s="127" t="s">
        <v>2693</v>
      </c>
      <c r="G220" s="123" t="s">
        <v>18</v>
      </c>
      <c r="H220" s="123" t="s">
        <v>2551</v>
      </c>
      <c r="I220" s="125" t="s">
        <v>27</v>
      </c>
      <c r="J220" s="125" t="s">
        <v>803</v>
      </c>
      <c r="K220" s="125" t="s">
        <v>21</v>
      </c>
      <c r="L220" s="126">
        <v>42458</v>
      </c>
      <c r="M220" s="126" t="str">
        <f ca="1">IF(L220="","",DATEDIF(L220,NOW(),"Y")&amp;"年"&amp;MOD(DATEDIF(L220,NOW(),"M"),12)&amp;"个月")</f>
        <v>9年10个月</v>
      </c>
      <c r="N220" s="183" t="s">
        <v>2694</v>
      </c>
      <c r="O220" s="125" t="s">
        <v>782</v>
      </c>
      <c r="P220" s="128">
        <v>35824</v>
      </c>
      <c r="Q220" s="125">
        <f ca="1">IF(N220="","",IF(AND(LEN(N220)&lt;&gt;15,LEN(N220)&lt;&gt;18),"错误",ROUNDDOWN((NOW()-P220)/365,0)))</f>
        <v>28</v>
      </c>
      <c r="R220" s="155" t="s">
        <v>1001</v>
      </c>
      <c r="S220" s="125" t="s">
        <v>785</v>
      </c>
      <c r="T220" s="125" t="s">
        <v>1002</v>
      </c>
      <c r="U220" s="125" t="s">
        <v>2695</v>
      </c>
      <c r="V220" s="125" t="s">
        <v>1411</v>
      </c>
      <c r="W220" s="125" t="s">
        <v>1005</v>
      </c>
      <c r="X220" s="125" t="s">
        <v>1006</v>
      </c>
      <c r="Y220" s="125" t="s">
        <v>1031</v>
      </c>
      <c r="Z220" s="125" t="s">
        <v>993</v>
      </c>
      <c r="AA220" s="156">
        <v>43617</v>
      </c>
      <c r="AB220" s="176">
        <v>13001285833</v>
      </c>
      <c r="AC220" s="127" t="s">
        <v>2696</v>
      </c>
      <c r="AD220" s="178" t="s">
        <v>2697</v>
      </c>
      <c r="AE220" s="136" t="s">
        <v>2698</v>
      </c>
      <c r="AF220" s="157" t="s">
        <v>2699</v>
      </c>
      <c r="AG220" s="136" t="s">
        <v>1046</v>
      </c>
      <c r="AH220" s="157">
        <v>13974831539</v>
      </c>
      <c r="AI220" s="136" t="s">
        <v>1035</v>
      </c>
      <c r="AJ220" s="136" t="s">
        <v>183</v>
      </c>
      <c r="AK220" s="136"/>
      <c r="AL220" s="126"/>
      <c r="AM220" s="128"/>
      <c r="AN220" s="135"/>
      <c r="AO220" s="125"/>
      <c r="AP220" s="125"/>
      <c r="AQ220" s="123"/>
    </row>
    <row r="221" customHeight="1" spans="1:43">
      <c r="A221" s="122">
        <v>220</v>
      </c>
      <c r="B221" s="126">
        <v>42748</v>
      </c>
      <c r="C221" s="125" t="s">
        <v>1026</v>
      </c>
      <c r="D221" s="132" t="s">
        <v>2043</v>
      </c>
      <c r="E221" s="132"/>
      <c r="F221" s="127" t="s">
        <v>2700</v>
      </c>
      <c r="G221" s="123" t="s">
        <v>18</v>
      </c>
      <c r="H221" s="123" t="s">
        <v>18</v>
      </c>
      <c r="I221" s="125" t="s">
        <v>27</v>
      </c>
      <c r="J221" s="125" t="s">
        <v>803</v>
      </c>
      <c r="K221" s="125" t="s">
        <v>21</v>
      </c>
      <c r="L221" s="126">
        <v>42433</v>
      </c>
      <c r="M221" s="126" t="str">
        <f ca="1">IF(L221="","",DATEDIF(L221,NOW(),"Y")&amp;"年"&amp;MOD(DATEDIF(L221,NOW(),"M"),12)&amp;"个月")</f>
        <v>9年10个月</v>
      </c>
      <c r="N221" s="183" t="s">
        <v>2701</v>
      </c>
      <c r="O221" s="125" t="s">
        <v>782</v>
      </c>
      <c r="P221" s="128">
        <v>35361</v>
      </c>
      <c r="Q221" s="125">
        <f ca="1">IF(N221="","",IF(AND(LEN(N221)&lt;&gt;15,LEN(N221)&lt;&gt;18),"错误",ROUNDDOWN((NOW()-P221)/365,0)))</f>
        <v>29</v>
      </c>
      <c r="R221" s="155" t="s">
        <v>1001</v>
      </c>
      <c r="S221" s="125" t="s">
        <v>785</v>
      </c>
      <c r="T221" s="125" t="s">
        <v>1002</v>
      </c>
      <c r="U221" s="125" t="s">
        <v>2702</v>
      </c>
      <c r="V221" s="125" t="s">
        <v>1558</v>
      </c>
      <c r="W221" s="125" t="s">
        <v>1005</v>
      </c>
      <c r="X221" s="125" t="s">
        <v>1006</v>
      </c>
      <c r="Y221" s="125" t="s">
        <v>1031</v>
      </c>
      <c r="Z221" s="125" t="s">
        <v>824</v>
      </c>
      <c r="AA221" s="156">
        <v>43647</v>
      </c>
      <c r="AB221" s="176">
        <v>18810230299</v>
      </c>
      <c r="AC221" s="127" t="s">
        <v>2703</v>
      </c>
      <c r="AD221" s="178" t="s">
        <v>2704</v>
      </c>
      <c r="AE221" s="136" t="s">
        <v>2705</v>
      </c>
      <c r="AF221" s="157" t="s">
        <v>2706</v>
      </c>
      <c r="AG221" s="136" t="s">
        <v>1046</v>
      </c>
      <c r="AH221" s="157">
        <v>13807488792</v>
      </c>
      <c r="AI221" s="136" t="s">
        <v>1035</v>
      </c>
      <c r="AJ221" s="136" t="s">
        <v>254</v>
      </c>
      <c r="AK221" s="136"/>
      <c r="AL221" s="126"/>
      <c r="AM221" s="128"/>
      <c r="AN221" s="135"/>
      <c r="AO221" s="125"/>
      <c r="AP221" s="125"/>
      <c r="AQ221" s="123"/>
    </row>
    <row r="222" customHeight="1" spans="1:43">
      <c r="A222" s="122">
        <v>221</v>
      </c>
      <c r="B222" s="236">
        <v>42753</v>
      </c>
      <c r="C222" s="237" t="s">
        <v>1026</v>
      </c>
      <c r="D222" s="238" t="s">
        <v>2043</v>
      </c>
      <c r="E222" s="238" t="s">
        <v>997</v>
      </c>
      <c r="F222" s="239" t="s">
        <v>2707</v>
      </c>
      <c r="G222" s="240" t="s">
        <v>480</v>
      </c>
      <c r="H222" s="240" t="s">
        <v>2551</v>
      </c>
      <c r="I222" s="237" t="s">
        <v>27</v>
      </c>
      <c r="J222" s="237" t="s">
        <v>803</v>
      </c>
      <c r="K222" s="237" t="s">
        <v>21</v>
      </c>
      <c r="L222" s="236">
        <v>42660</v>
      </c>
      <c r="M222" s="236" t="str">
        <f ca="1">IF(L222="","",DATEDIF(L222,NOW(),"Y")&amp;"年"&amp;MOD(DATEDIF(L222,NOW(),"M"),12)&amp;"个月")</f>
        <v>9年3个月</v>
      </c>
      <c r="N222" s="241" t="s">
        <v>2708</v>
      </c>
      <c r="O222" s="237" t="s">
        <v>782</v>
      </c>
      <c r="P222" s="242">
        <v>34455</v>
      </c>
      <c r="Q222" s="237">
        <v>22</v>
      </c>
      <c r="R222" s="243" t="s">
        <v>784</v>
      </c>
      <c r="S222" s="237" t="s">
        <v>785</v>
      </c>
      <c r="T222" s="237" t="s">
        <v>1002</v>
      </c>
      <c r="U222" s="237" t="s">
        <v>1052</v>
      </c>
      <c r="V222" s="237" t="s">
        <v>2709</v>
      </c>
      <c r="W222" s="237" t="s">
        <v>1005</v>
      </c>
      <c r="X222" s="237" t="s">
        <v>974</v>
      </c>
      <c r="Y222" s="237" t="s">
        <v>1031</v>
      </c>
      <c r="Z222" s="237" t="s">
        <v>1559</v>
      </c>
      <c r="AA222" s="244">
        <v>43282</v>
      </c>
      <c r="AB222" s="245">
        <v>18810495998</v>
      </c>
      <c r="AC222" s="239" t="s">
        <v>2710</v>
      </c>
      <c r="AD222" s="246" t="s">
        <v>2711</v>
      </c>
      <c r="AE222" s="247" t="s">
        <v>2712</v>
      </c>
      <c r="AF222" s="248" t="s">
        <v>2713</v>
      </c>
      <c r="AG222" s="247" t="s">
        <v>1137</v>
      </c>
      <c r="AH222" s="248">
        <v>13598591354</v>
      </c>
      <c r="AI222" s="247" t="s">
        <v>1035</v>
      </c>
      <c r="AJ222" s="247" t="s">
        <v>57</v>
      </c>
      <c r="AK222" s="247">
        <v>0</v>
      </c>
      <c r="AL222" s="236"/>
      <c r="AM222" s="242"/>
      <c r="AN222" s="249"/>
      <c r="AO222" s="237"/>
      <c r="AP222" s="237"/>
      <c r="AQ222" s="240"/>
    </row>
    <row r="223" customHeight="1" spans="1:43">
      <c r="A223" s="122">
        <v>222</v>
      </c>
      <c r="B223" s="250">
        <v>42753</v>
      </c>
      <c r="C223" s="226" t="s">
        <v>1026</v>
      </c>
      <c r="D223" s="224" t="s">
        <v>1127</v>
      </c>
      <c r="E223" s="224" t="s">
        <v>1115</v>
      </c>
      <c r="F223" s="141" t="s">
        <v>2660</v>
      </c>
      <c r="G223" s="141" t="s">
        <v>1530</v>
      </c>
      <c r="H223" s="137" t="s">
        <v>2714</v>
      </c>
      <c r="I223" s="139" t="s">
        <v>886</v>
      </c>
      <c r="J223" s="139" t="s">
        <v>1227</v>
      </c>
      <c r="K223" s="139" t="s">
        <v>370</v>
      </c>
      <c r="L223" s="142">
        <v>42450</v>
      </c>
      <c r="M223" s="139" t="s">
        <v>2239</v>
      </c>
      <c r="N223" s="181" t="s">
        <v>2715</v>
      </c>
      <c r="O223" s="139" t="s">
        <v>782</v>
      </c>
      <c r="P223" s="142">
        <v>29347</v>
      </c>
      <c r="Q223" s="143">
        <v>36</v>
      </c>
      <c r="R223" s="151" t="s">
        <v>1001</v>
      </c>
      <c r="S223" s="139" t="s">
        <v>785</v>
      </c>
      <c r="T223" s="139" t="s">
        <v>1002</v>
      </c>
      <c r="U223" s="139" t="s">
        <v>2716</v>
      </c>
      <c r="V223" s="139" t="s">
        <v>2717</v>
      </c>
      <c r="W223" s="139" t="s">
        <v>1005</v>
      </c>
      <c r="X223" s="139" t="s">
        <v>789</v>
      </c>
      <c r="Y223" s="139" t="s">
        <v>2718</v>
      </c>
      <c r="Z223" s="139" t="s">
        <v>1842</v>
      </c>
      <c r="AA223" s="152"/>
      <c r="AB223" s="153">
        <v>18116266209</v>
      </c>
      <c r="AC223" s="208" t="s">
        <v>2719</v>
      </c>
      <c r="AD223" s="149" t="s">
        <v>2720</v>
      </c>
      <c r="AE223" s="149" t="s">
        <v>2717</v>
      </c>
      <c r="AF223" s="153" t="s">
        <v>2721</v>
      </c>
      <c r="AG223" s="149" t="s">
        <v>1137</v>
      </c>
      <c r="AH223" s="153">
        <v>15870266614</v>
      </c>
      <c r="AI223" s="149" t="s">
        <v>1084</v>
      </c>
      <c r="AJ223" s="149"/>
      <c r="AK223" s="149"/>
      <c r="AL223" s="142">
        <v>42450</v>
      </c>
      <c r="AM223" s="142">
        <v>42814</v>
      </c>
      <c r="AN223" s="148">
        <f ca="1">ROUND(AM223-NOW(),0)</f>
        <v>-3238</v>
      </c>
      <c r="AO223" s="139"/>
      <c r="AP223" s="139"/>
      <c r="AQ223" s="137" t="s">
        <v>23</v>
      </c>
    </row>
    <row r="224" customHeight="1" spans="1:43">
      <c r="A224" s="122">
        <v>223</v>
      </c>
      <c r="B224" s="225">
        <v>42754</v>
      </c>
      <c r="C224" s="226" t="s">
        <v>1026</v>
      </c>
      <c r="D224" s="224" t="s">
        <v>1127</v>
      </c>
      <c r="E224" s="224" t="s">
        <v>1115</v>
      </c>
      <c r="F224" s="212" t="s">
        <v>2722</v>
      </c>
      <c r="G224" s="227" t="s">
        <v>1224</v>
      </c>
      <c r="H224" s="227" t="s">
        <v>2362</v>
      </c>
      <c r="I224" s="226" t="s">
        <v>2723</v>
      </c>
      <c r="J224" s="226" t="s">
        <v>803</v>
      </c>
      <c r="K224" s="226" t="s">
        <v>21</v>
      </c>
      <c r="L224" s="228">
        <v>42325</v>
      </c>
      <c r="M224" s="226" t="str">
        <f ca="1">IF(L224="","",DATEDIF(L224,NOW(),"Y")&amp;"年"&amp;MOD(DATEDIF(L224,NOW(),"M"),12)&amp;"个月")</f>
        <v>10年2个月</v>
      </c>
      <c r="N224" s="229" t="s">
        <v>2724</v>
      </c>
      <c r="O224" s="226" t="s">
        <v>794</v>
      </c>
      <c r="P224" s="228">
        <v>29836</v>
      </c>
      <c r="Q224" s="230">
        <f ca="1">IF(N224="","",IF(AND(LEN(N224)&lt;&gt;15,LEN(N224)&lt;&gt;18),"错误",ROUNDDOWN((NOW()-P224)/365,0)))</f>
        <v>44</v>
      </c>
      <c r="R224" s="231" t="s">
        <v>1608</v>
      </c>
      <c r="S224" s="226" t="s">
        <v>879</v>
      </c>
      <c r="T224" s="226" t="s">
        <v>1051</v>
      </c>
      <c r="U224" s="226" t="s">
        <v>2725</v>
      </c>
      <c r="V224" s="226" t="s">
        <v>2726</v>
      </c>
      <c r="W224" s="226" t="s">
        <v>1005</v>
      </c>
      <c r="X224" s="226" t="s">
        <v>974</v>
      </c>
      <c r="Y224" s="226" t="s">
        <v>787</v>
      </c>
      <c r="Z224" s="226" t="s">
        <v>2727</v>
      </c>
      <c r="AA224" s="232">
        <v>39264</v>
      </c>
      <c r="AB224" s="230">
        <v>15801603557</v>
      </c>
      <c r="AC224" s="212" t="s">
        <v>2728</v>
      </c>
      <c r="AD224" s="233" t="s">
        <v>2729</v>
      </c>
      <c r="AE224" s="233" t="s">
        <v>2726</v>
      </c>
      <c r="AF224" s="234" t="s">
        <v>2730</v>
      </c>
      <c r="AG224" s="233" t="s">
        <v>1167</v>
      </c>
      <c r="AH224" s="234">
        <v>13911728256</v>
      </c>
      <c r="AI224" s="233" t="s">
        <v>1060</v>
      </c>
      <c r="AJ224" s="233"/>
      <c r="AK224" s="233"/>
      <c r="AL224" s="228">
        <f>L224</f>
        <v>42325</v>
      </c>
      <c r="AM224" s="228">
        <f>EDATE(AL224,36)-1</f>
        <v>43420</v>
      </c>
      <c r="AN224" s="235">
        <f ca="1">ROUND(AM224-NOW(),0)</f>
        <v>-2632</v>
      </c>
      <c r="AO224" s="226"/>
      <c r="AP224" s="226"/>
      <c r="AQ224" s="227" t="s">
        <v>23</v>
      </c>
    </row>
    <row r="225" customHeight="1" spans="1:43">
      <c r="A225" s="122">
        <v>224</v>
      </c>
      <c r="B225" s="236">
        <v>42756</v>
      </c>
      <c r="C225" s="237" t="s">
        <v>1026</v>
      </c>
      <c r="D225" s="238" t="s">
        <v>2043</v>
      </c>
      <c r="E225" s="238" t="s">
        <v>997</v>
      </c>
      <c r="F225" s="239" t="s">
        <v>2731</v>
      </c>
      <c r="G225" s="240" t="s">
        <v>1566</v>
      </c>
      <c r="H225" s="240" t="s">
        <v>2350</v>
      </c>
      <c r="I225" s="237" t="s">
        <v>27</v>
      </c>
      <c r="J225" s="237" t="s">
        <v>803</v>
      </c>
      <c r="K225" s="237" t="s">
        <v>21</v>
      </c>
      <c r="L225" s="236">
        <v>42689</v>
      </c>
      <c r="M225" s="236" t="str">
        <f ca="1">IF(L225="","",DATEDIF(L225,NOW(),"Y")&amp;"年"&amp;MOD(DATEDIF(L225,NOW(),"M"),12)&amp;"个月")</f>
        <v>9年2个月</v>
      </c>
      <c r="N225" s="241" t="s">
        <v>2732</v>
      </c>
      <c r="O225" s="237" t="s">
        <v>794</v>
      </c>
      <c r="P225" s="242">
        <v>34648</v>
      </c>
      <c r="Q225" s="237">
        <v>22</v>
      </c>
      <c r="R225" s="243" t="s">
        <v>2733</v>
      </c>
      <c r="S225" s="237" t="s">
        <v>785</v>
      </c>
      <c r="T225" s="237" t="s">
        <v>1002</v>
      </c>
      <c r="U225" s="237" t="s">
        <v>2734</v>
      </c>
      <c r="V225" s="237">
        <v>0</v>
      </c>
      <c r="W225" s="237" t="s">
        <v>1054</v>
      </c>
      <c r="X225" s="237" t="s">
        <v>1006</v>
      </c>
      <c r="Y225" s="237" t="s">
        <v>2735</v>
      </c>
      <c r="Z225" s="237" t="s">
        <v>1258</v>
      </c>
      <c r="AA225" s="244">
        <v>42917</v>
      </c>
      <c r="AB225" s="245">
        <v>18813106952</v>
      </c>
      <c r="AC225" s="239" t="s">
        <v>2736</v>
      </c>
      <c r="AD225" s="246" t="s">
        <v>2737</v>
      </c>
      <c r="AE225" s="247" t="s">
        <v>2738</v>
      </c>
      <c r="AF225" s="248" t="s">
        <v>2739</v>
      </c>
      <c r="AG225" s="247" t="s">
        <v>1672</v>
      </c>
      <c r="AH225" s="248">
        <v>15313032933</v>
      </c>
      <c r="AI225" s="247" t="s">
        <v>1035</v>
      </c>
      <c r="AJ225" s="247" t="s">
        <v>2740</v>
      </c>
      <c r="AK225" s="247" t="s">
        <v>2741</v>
      </c>
      <c r="AL225" s="236"/>
      <c r="AM225" s="242"/>
      <c r="AN225" s="249"/>
      <c r="AO225" s="237"/>
      <c r="AP225" s="237"/>
      <c r="AQ225" s="240"/>
    </row>
    <row r="226" customHeight="1" spans="1:43">
      <c r="A226" s="122">
        <v>225</v>
      </c>
      <c r="B226" s="225">
        <v>42759</v>
      </c>
      <c r="C226" s="226" t="s">
        <v>1026</v>
      </c>
      <c r="D226" s="224" t="s">
        <v>1127</v>
      </c>
      <c r="E226" s="224" t="s">
        <v>2742</v>
      </c>
      <c r="F226" s="212" t="s">
        <v>2743</v>
      </c>
      <c r="G226" s="141" t="s">
        <v>1530</v>
      </c>
      <c r="H226" s="227" t="s">
        <v>2744</v>
      </c>
      <c r="I226" s="226" t="s">
        <v>1906</v>
      </c>
      <c r="J226" s="226" t="s">
        <v>1227</v>
      </c>
      <c r="K226" s="226" t="s">
        <v>137</v>
      </c>
      <c r="L226" s="228">
        <v>42079</v>
      </c>
      <c r="M226" s="226" t="str">
        <f ca="1">IF(L226="","",DATEDIF(L226,NOW(),"Y")&amp;"年"&amp;MOD(DATEDIF(L226,NOW(),"M"),12)&amp;"个月")</f>
        <v>10年10个月</v>
      </c>
      <c r="N226" s="229" t="s">
        <v>2745</v>
      </c>
      <c r="O226" s="226" t="s">
        <v>782</v>
      </c>
      <c r="P226" s="228">
        <v>31353</v>
      </c>
      <c r="Q226" s="230">
        <f ca="1">IF(N226="","",IF(AND(LEN(N226)&lt;&gt;15,LEN(N226)&lt;&gt;18),"错误",ROUNDDOWN((NOW()-P226)/365,0)))</f>
        <v>40</v>
      </c>
      <c r="R226" s="231" t="s">
        <v>1001</v>
      </c>
      <c r="S226" s="226" t="s">
        <v>785</v>
      </c>
      <c r="T226" s="226" t="s">
        <v>1002</v>
      </c>
      <c r="U226" s="226" t="s">
        <v>2746</v>
      </c>
      <c r="V226" s="226" t="s">
        <v>2747</v>
      </c>
      <c r="W226" s="226" t="s">
        <v>1005</v>
      </c>
      <c r="X226" s="226" t="s">
        <v>974</v>
      </c>
      <c r="Y226" s="226" t="s">
        <v>2090</v>
      </c>
      <c r="Z226" s="226" t="s">
        <v>2091</v>
      </c>
      <c r="AA226" s="232">
        <v>40969</v>
      </c>
      <c r="AB226" s="230">
        <v>18951516759</v>
      </c>
      <c r="AC226" s="212" t="s">
        <v>2748</v>
      </c>
      <c r="AD226" s="233" t="s">
        <v>2749</v>
      </c>
      <c r="AE226" s="233" t="s">
        <v>2750</v>
      </c>
      <c r="AF226" s="234" t="s">
        <v>2751</v>
      </c>
      <c r="AG226" s="233" t="s">
        <v>2752</v>
      </c>
      <c r="AH226" s="234">
        <v>13609242751</v>
      </c>
      <c r="AI226" s="233" t="s">
        <v>1084</v>
      </c>
      <c r="AJ226" s="233" t="s">
        <v>1113</v>
      </c>
      <c r="AK226" s="233"/>
      <c r="AL226" s="228">
        <v>42079</v>
      </c>
      <c r="AM226" s="228">
        <v>42809</v>
      </c>
      <c r="AN226" s="235">
        <f ca="1">ROUND(AM226-NOW(),0)</f>
        <v>-3243</v>
      </c>
      <c r="AO226" s="226" t="s">
        <v>138</v>
      </c>
      <c r="AP226" s="226"/>
      <c r="AQ226" s="227" t="s">
        <v>23</v>
      </c>
    </row>
    <row r="227" customHeight="1" spans="1:43">
      <c r="A227" s="122">
        <v>226</v>
      </c>
      <c r="B227" s="140">
        <v>42771</v>
      </c>
      <c r="C227" s="226" t="s">
        <v>1013</v>
      </c>
      <c r="D227" s="122" t="s">
        <v>2753</v>
      </c>
      <c r="E227" s="122"/>
      <c r="F227" s="141" t="s">
        <v>2754</v>
      </c>
      <c r="G227" s="141" t="s">
        <v>1530</v>
      </c>
      <c r="H227" s="137" t="s">
        <v>2755</v>
      </c>
      <c r="I227" s="139" t="s">
        <v>2756</v>
      </c>
      <c r="J227" s="139" t="s">
        <v>1227</v>
      </c>
      <c r="K227" s="139" t="s">
        <v>227</v>
      </c>
      <c r="L227" s="142">
        <v>42443</v>
      </c>
      <c r="M227" s="139" t="s">
        <v>2239</v>
      </c>
      <c r="N227" s="181" t="s">
        <v>2757</v>
      </c>
      <c r="O227" s="139" t="s">
        <v>782</v>
      </c>
      <c r="P227" s="142">
        <v>31903</v>
      </c>
      <c r="Q227" s="143">
        <v>29</v>
      </c>
      <c r="R227" s="151" t="s">
        <v>1001</v>
      </c>
      <c r="S227" s="139" t="s">
        <v>879</v>
      </c>
      <c r="T227" s="139" t="s">
        <v>1292</v>
      </c>
      <c r="U227" s="139" t="s">
        <v>1276</v>
      </c>
      <c r="V227" s="139" t="s">
        <v>2758</v>
      </c>
      <c r="W227" s="139" t="s">
        <v>1005</v>
      </c>
      <c r="X227" s="139" t="s">
        <v>789</v>
      </c>
      <c r="Y227" s="139" t="s">
        <v>2759</v>
      </c>
      <c r="Z227" s="139" t="s">
        <v>2259</v>
      </c>
      <c r="AA227" s="152"/>
      <c r="AB227" s="153">
        <v>13868124806</v>
      </c>
      <c r="AC227" s="208" t="s">
        <v>2760</v>
      </c>
      <c r="AD227" s="149" t="s">
        <v>2761</v>
      </c>
      <c r="AE227" s="149" t="s">
        <v>2762</v>
      </c>
      <c r="AF227" s="153" t="s">
        <v>2763</v>
      </c>
      <c r="AG227" s="149" t="s">
        <v>1167</v>
      </c>
      <c r="AH227" s="153">
        <v>18606529907</v>
      </c>
      <c r="AI227" s="149" t="s">
        <v>1060</v>
      </c>
      <c r="AJ227" s="149"/>
      <c r="AK227" s="149"/>
      <c r="AL227" s="142">
        <v>42443</v>
      </c>
      <c r="AM227" s="142">
        <v>43173</v>
      </c>
      <c r="AN227" s="148">
        <f ca="1">ROUND(AM227-NOW(),0)</f>
        <v>-2879</v>
      </c>
      <c r="AO227" s="139"/>
      <c r="AP227" s="139"/>
      <c r="AQ227" s="137" t="s">
        <v>23</v>
      </c>
    </row>
    <row r="228" customHeight="1" spans="1:43">
      <c r="A228" s="122">
        <v>227</v>
      </c>
      <c r="B228" s="140">
        <v>42774</v>
      </c>
      <c r="C228" s="226" t="s">
        <v>1026</v>
      </c>
      <c r="D228" s="122" t="s">
        <v>1127</v>
      </c>
      <c r="E228" s="122" t="s">
        <v>1115</v>
      </c>
      <c r="F228" s="141" t="s">
        <v>2764</v>
      </c>
      <c r="G228" s="212" t="s">
        <v>1530</v>
      </c>
      <c r="H228" s="137" t="s">
        <v>2755</v>
      </c>
      <c r="I228" s="139" t="s">
        <v>2211</v>
      </c>
      <c r="J228" s="139" t="s">
        <v>803</v>
      </c>
      <c r="K228" s="139" t="s">
        <v>21</v>
      </c>
      <c r="L228" s="142">
        <v>42450</v>
      </c>
      <c r="M228" s="139" t="str">
        <f ca="1">IF(L228="","",DATEDIF(L228,NOW(),"Y")&amp;"年"&amp;MOD(DATEDIF(L228,NOW(),"M"),12)&amp;"个月")</f>
        <v>9年10个月</v>
      </c>
      <c r="N228" s="181" t="s">
        <v>2765</v>
      </c>
      <c r="O228" s="139" t="s">
        <v>782</v>
      </c>
      <c r="P228" s="142">
        <v>32399</v>
      </c>
      <c r="Q228" s="143">
        <f ca="1">IF(N228="","",IF(AND(LEN(N228)&lt;&gt;15,LEN(N228)&lt;&gt;18),"错误",ROUNDDOWN((NOW()-P228)/365,0)))</f>
        <v>37</v>
      </c>
      <c r="R228" s="151" t="s">
        <v>1001</v>
      </c>
      <c r="S228" s="139" t="s">
        <v>785</v>
      </c>
      <c r="T228" s="139" t="s">
        <v>1002</v>
      </c>
      <c r="U228" s="139" t="s">
        <v>2766</v>
      </c>
      <c r="V228" s="139" t="s">
        <v>2767</v>
      </c>
      <c r="W228" s="139" t="s">
        <v>1005</v>
      </c>
      <c r="X228" s="139" t="s">
        <v>1006</v>
      </c>
      <c r="Y228" s="139" t="s">
        <v>1031</v>
      </c>
      <c r="Z228" s="139" t="s">
        <v>2768</v>
      </c>
      <c r="AA228" s="152">
        <v>40725</v>
      </c>
      <c r="AB228" s="153">
        <v>15652781295</v>
      </c>
      <c r="AC228" s="208" t="s">
        <v>2769</v>
      </c>
      <c r="AD228" s="149" t="s">
        <v>2770</v>
      </c>
      <c r="AE228" s="149" t="s">
        <v>2771</v>
      </c>
      <c r="AF228" s="153" t="s">
        <v>2772</v>
      </c>
      <c r="AG228" s="149" t="s">
        <v>1011</v>
      </c>
      <c r="AH228" s="153">
        <v>15193080508</v>
      </c>
      <c r="AI228" s="149" t="s">
        <v>1035</v>
      </c>
      <c r="AJ228" s="149" t="s">
        <v>229</v>
      </c>
      <c r="AK228" s="149"/>
      <c r="AL228" s="142">
        <f>L228</f>
        <v>42450</v>
      </c>
      <c r="AM228" s="142">
        <f>EDATE(AL228,36)-1</f>
        <v>43544</v>
      </c>
      <c r="AN228" s="148">
        <f ca="1">ROUND(AM228-NOW(),0)</f>
        <v>-2508</v>
      </c>
      <c r="AO228" s="139"/>
      <c r="AP228" s="139"/>
      <c r="AQ228" s="137" t="s">
        <v>23</v>
      </c>
    </row>
    <row r="229" customHeight="1" spans="1:43">
      <c r="A229" s="122">
        <v>228</v>
      </c>
      <c r="B229" s="126">
        <v>42782</v>
      </c>
      <c r="C229" s="237" t="s">
        <v>1026</v>
      </c>
      <c r="D229" s="132"/>
      <c r="E229" s="132"/>
      <c r="F229" s="239" t="s">
        <v>2051</v>
      </c>
      <c r="G229" s="240" t="s">
        <v>18</v>
      </c>
      <c r="H229" s="240" t="s">
        <v>2551</v>
      </c>
      <c r="I229" s="237" t="s">
        <v>27</v>
      </c>
      <c r="J229" s="237" t="s">
        <v>803</v>
      </c>
      <c r="K229" s="237" t="s">
        <v>21</v>
      </c>
      <c r="L229" s="236">
        <v>42432</v>
      </c>
      <c r="M229" s="236" t="str">
        <f ca="1">IF(L229="","",DATEDIF(L229,NOW(),"Y")&amp;"年"&amp;MOD(DATEDIF(L229,NOW(),"M"),12)&amp;"个月")</f>
        <v>9年10个月</v>
      </c>
      <c r="N229" s="241" t="s">
        <v>2773</v>
      </c>
      <c r="O229" s="237" t="s">
        <v>782</v>
      </c>
      <c r="P229" s="242">
        <v>35336</v>
      </c>
      <c r="Q229" s="237">
        <f ca="1">IF(N229="","",IF(AND(LEN(N229)&lt;&gt;15,LEN(N229)&lt;&gt;18),"错误",ROUNDDOWN((NOW()-P229)/365,0)))</f>
        <v>29</v>
      </c>
      <c r="R229" s="243" t="s">
        <v>1001</v>
      </c>
      <c r="S229" s="237" t="s">
        <v>785</v>
      </c>
      <c r="T229" s="237" t="s">
        <v>1002</v>
      </c>
      <c r="U229" s="237" t="s">
        <v>2774</v>
      </c>
      <c r="V229" s="237" t="s">
        <v>2775</v>
      </c>
      <c r="W229" s="237" t="s">
        <v>1005</v>
      </c>
      <c r="X229" s="237" t="s">
        <v>1006</v>
      </c>
      <c r="Y229" s="237" t="s">
        <v>1031</v>
      </c>
      <c r="Z229" s="237" t="s">
        <v>1266</v>
      </c>
      <c r="AA229" s="244">
        <v>43617</v>
      </c>
      <c r="AB229" s="245">
        <v>18813113911</v>
      </c>
      <c r="AC229" s="239" t="s">
        <v>2776</v>
      </c>
      <c r="AD229" s="246" t="s">
        <v>2777</v>
      </c>
      <c r="AE229" s="247" t="s">
        <v>2778</v>
      </c>
      <c r="AF229" s="248" t="s">
        <v>2477</v>
      </c>
      <c r="AG229" s="247" t="s">
        <v>1498</v>
      </c>
      <c r="AH229" s="248">
        <v>18810208503</v>
      </c>
      <c r="AI229" s="247" t="s">
        <v>1035</v>
      </c>
      <c r="AJ229" s="247" t="s">
        <v>254</v>
      </c>
      <c r="AK229" s="247"/>
      <c r="AL229" s="236"/>
      <c r="AM229" s="242"/>
      <c r="AN229" s="249"/>
      <c r="AO229" s="237"/>
      <c r="AP229" s="237"/>
      <c r="AQ229" s="240"/>
    </row>
    <row r="230" customHeight="1" spans="1:43">
      <c r="A230" s="122">
        <v>229</v>
      </c>
      <c r="B230" s="126">
        <v>42783</v>
      </c>
      <c r="C230" s="237" t="s">
        <v>1026</v>
      </c>
      <c r="D230" s="238"/>
      <c r="E230" s="132"/>
      <c r="F230" s="239" t="s">
        <v>672</v>
      </c>
      <c r="G230" s="240" t="s">
        <v>1355</v>
      </c>
      <c r="H230" s="240" t="s">
        <v>1169</v>
      </c>
      <c r="I230" s="237" t="s">
        <v>27</v>
      </c>
      <c r="J230" s="237" t="s">
        <v>803</v>
      </c>
      <c r="K230" s="237" t="s">
        <v>21</v>
      </c>
      <c r="L230" s="236">
        <v>42674</v>
      </c>
      <c r="M230" s="236" t="str">
        <f ca="1">IF(L230="","",DATEDIF(L230,NOW(),"Y")&amp;"年"&amp;MOD(DATEDIF(L230,NOW(),"M"),12)&amp;"个月")</f>
        <v>9年2个月</v>
      </c>
      <c r="N230" s="241" t="s">
        <v>2779</v>
      </c>
      <c r="O230" s="237" t="s">
        <v>794</v>
      </c>
      <c r="P230" s="242">
        <v>34663</v>
      </c>
      <c r="Q230" s="237">
        <v>21</v>
      </c>
      <c r="R230" s="243" t="s">
        <v>1001</v>
      </c>
      <c r="S230" s="237" t="s">
        <v>785</v>
      </c>
      <c r="T230" s="237" t="s">
        <v>1002</v>
      </c>
      <c r="U230" s="237" t="s">
        <v>1579</v>
      </c>
      <c r="V230" s="237" t="s">
        <v>2780</v>
      </c>
      <c r="W230" s="237" t="s">
        <v>1005</v>
      </c>
      <c r="X230" s="237" t="s">
        <v>1006</v>
      </c>
      <c r="Y230" s="237" t="s">
        <v>2781</v>
      </c>
      <c r="Z230" s="237" t="s">
        <v>2115</v>
      </c>
      <c r="AA230" s="244">
        <v>42887</v>
      </c>
      <c r="AB230" s="245">
        <v>18463134624</v>
      </c>
      <c r="AC230" s="239" t="s">
        <v>865</v>
      </c>
      <c r="AD230" s="246" t="s">
        <v>2782</v>
      </c>
      <c r="AE230" s="247" t="s">
        <v>2783</v>
      </c>
      <c r="AF230" s="248" t="s">
        <v>2784</v>
      </c>
      <c r="AG230" s="247" t="s">
        <v>1974</v>
      </c>
      <c r="AH230" s="248">
        <v>15001276143</v>
      </c>
      <c r="AI230" s="247" t="s">
        <v>1060</v>
      </c>
      <c r="AJ230" s="247">
        <v>0</v>
      </c>
      <c r="AK230" s="247" t="s">
        <v>2785</v>
      </c>
      <c r="AL230" s="236"/>
      <c r="AM230" s="242"/>
      <c r="AN230" s="249"/>
      <c r="AO230" s="237"/>
      <c r="AP230" s="237"/>
      <c r="AQ230" s="240"/>
    </row>
    <row r="231" customHeight="1" spans="1:43">
      <c r="A231" s="122">
        <v>230</v>
      </c>
      <c r="B231" s="140">
        <v>42783</v>
      </c>
      <c r="C231" s="226" t="s">
        <v>1013</v>
      </c>
      <c r="D231" s="122" t="s">
        <v>2786</v>
      </c>
      <c r="E231" s="122"/>
      <c r="F231" s="212" t="s">
        <v>2787</v>
      </c>
      <c r="G231" s="212" t="s">
        <v>2788</v>
      </c>
      <c r="H231" s="227" t="s">
        <v>2789</v>
      </c>
      <c r="I231" s="226" t="s">
        <v>2790</v>
      </c>
      <c r="J231" s="226" t="s">
        <v>779</v>
      </c>
      <c r="K231" s="226" t="s">
        <v>21</v>
      </c>
      <c r="L231" s="228">
        <v>42685</v>
      </c>
      <c r="M231" s="226" t="str">
        <f ca="1">IF(L231="","",DATEDIF(L231,NOW(),"Y")&amp;"年"&amp;MOD(DATEDIF(L231,NOW(),"M"),12)&amp;"个月")</f>
        <v>9年2个月</v>
      </c>
      <c r="N231" s="229" t="s">
        <v>2791</v>
      </c>
      <c r="O231" s="226" t="s">
        <v>782</v>
      </c>
      <c r="P231" s="228">
        <v>30334</v>
      </c>
      <c r="Q231" s="230">
        <v>33</v>
      </c>
      <c r="R231" s="231" t="s">
        <v>1001</v>
      </c>
      <c r="S231" s="226" t="s">
        <v>879</v>
      </c>
      <c r="T231" s="226" t="s">
        <v>1051</v>
      </c>
      <c r="U231" s="226" t="s">
        <v>2792</v>
      </c>
      <c r="V231" s="226" t="s">
        <v>2793</v>
      </c>
      <c r="W231" s="226" t="s">
        <v>1005</v>
      </c>
      <c r="X231" s="226" t="s">
        <v>974</v>
      </c>
      <c r="Y231" s="226" t="s">
        <v>2794</v>
      </c>
      <c r="Z231" s="226" t="s">
        <v>2795</v>
      </c>
      <c r="AA231" s="232">
        <v>39264</v>
      </c>
      <c r="AB231" s="230">
        <v>15810820130</v>
      </c>
      <c r="AC231" s="212" t="s">
        <v>2796</v>
      </c>
      <c r="AD231" s="233" t="s">
        <v>2797</v>
      </c>
      <c r="AE231" s="233" t="s">
        <v>2798</v>
      </c>
      <c r="AF231" s="234" t="s">
        <v>2799</v>
      </c>
      <c r="AG231" s="233" t="s">
        <v>1059</v>
      </c>
      <c r="AH231" s="234">
        <v>13811210130</v>
      </c>
      <c r="AI231" s="233" t="s">
        <v>1035</v>
      </c>
      <c r="AJ231" s="233" t="s">
        <v>2800</v>
      </c>
      <c r="AK231" s="233" t="s">
        <v>2801</v>
      </c>
      <c r="AL231" s="228">
        <v>42685</v>
      </c>
      <c r="AM231" s="228">
        <f>EDATE(AL231,36)-1</f>
        <v>43779</v>
      </c>
      <c r="AN231" s="235">
        <f ca="1">ROUND(AM231-NOW(),0)</f>
        <v>-2273</v>
      </c>
      <c r="AO231" s="226"/>
      <c r="AP231" s="226"/>
      <c r="AQ231" s="227"/>
    </row>
    <row r="232" customHeight="1" spans="1:43">
      <c r="A232" s="122">
        <v>231</v>
      </c>
      <c r="B232" s="140">
        <v>42783</v>
      </c>
      <c r="C232" s="226" t="s">
        <v>1026</v>
      </c>
      <c r="D232" s="224" t="s">
        <v>1127</v>
      </c>
      <c r="E232" s="122"/>
      <c r="F232" s="212" t="s">
        <v>2802</v>
      </c>
      <c r="G232" s="141" t="s">
        <v>1530</v>
      </c>
      <c r="H232" s="227" t="s">
        <v>2714</v>
      </c>
      <c r="I232" s="226" t="s">
        <v>886</v>
      </c>
      <c r="J232" s="226" t="s">
        <v>1227</v>
      </c>
      <c r="K232" s="226" t="s">
        <v>227</v>
      </c>
      <c r="L232" s="228">
        <v>42396</v>
      </c>
      <c r="M232" s="226" t="s">
        <v>986</v>
      </c>
      <c r="N232" s="229" t="s">
        <v>2803</v>
      </c>
      <c r="O232" s="226" t="s">
        <v>782</v>
      </c>
      <c r="P232" s="228">
        <v>32428</v>
      </c>
      <c r="Q232" s="230">
        <v>28</v>
      </c>
      <c r="R232" s="231" t="s">
        <v>1001</v>
      </c>
      <c r="S232" s="226" t="s">
        <v>879</v>
      </c>
      <c r="T232" s="226" t="s">
        <v>1002</v>
      </c>
      <c r="U232" s="226" t="s">
        <v>2804</v>
      </c>
      <c r="V232" s="226" t="s">
        <v>2805</v>
      </c>
      <c r="W232" s="226" t="s">
        <v>1054</v>
      </c>
      <c r="X232" s="226" t="s">
        <v>789</v>
      </c>
      <c r="Y232" s="226" t="s">
        <v>2068</v>
      </c>
      <c r="Z232" s="226" t="s">
        <v>1294</v>
      </c>
      <c r="AA232" s="232"/>
      <c r="AB232" s="230">
        <v>15858264646</v>
      </c>
      <c r="AC232" s="212" t="s">
        <v>2806</v>
      </c>
      <c r="AD232" s="233" t="s">
        <v>2807</v>
      </c>
      <c r="AE232" s="233" t="s">
        <v>2808</v>
      </c>
      <c r="AF232" s="234" t="s">
        <v>2809</v>
      </c>
      <c r="AG232" s="233" t="s">
        <v>1059</v>
      </c>
      <c r="AH232" s="234">
        <v>15058126353</v>
      </c>
      <c r="AI232" s="233" t="s">
        <v>1060</v>
      </c>
      <c r="AJ232" s="233"/>
      <c r="AK232" s="233"/>
      <c r="AL232" s="228">
        <v>42396</v>
      </c>
      <c r="AM232" s="228">
        <v>42761</v>
      </c>
      <c r="AN232" s="235">
        <f ca="1">ROUND(AM232-NOW(),0)</f>
        <v>-3291</v>
      </c>
      <c r="AO232" s="226"/>
      <c r="AP232" s="226"/>
      <c r="AQ232" s="227"/>
    </row>
    <row r="233" customHeight="1" spans="1:43">
      <c r="A233" s="122">
        <v>232</v>
      </c>
      <c r="B233" s="140">
        <v>42787</v>
      </c>
      <c r="C233" s="226" t="s">
        <v>1026</v>
      </c>
      <c r="D233" s="224" t="s">
        <v>2810</v>
      </c>
      <c r="E233" s="122"/>
      <c r="F233" s="141" t="s">
        <v>2811</v>
      </c>
      <c r="G233" s="137" t="s">
        <v>1530</v>
      </c>
      <c r="H233" s="137" t="s">
        <v>2812</v>
      </c>
      <c r="I233" s="139" t="s">
        <v>1018</v>
      </c>
      <c r="J233" s="139" t="s">
        <v>1227</v>
      </c>
      <c r="K233" s="139" t="s">
        <v>21</v>
      </c>
      <c r="L233" s="142">
        <v>42779</v>
      </c>
      <c r="M233" s="139" t="str">
        <f ca="1" t="shared" ref="M233:M256" si="12">IF(L233="","",DATEDIF(L233,NOW(),"Y")&amp;"年"&amp;MOD(DATEDIF(L233,NOW(),"M"),12)&amp;"个月")</f>
        <v>8年11个月</v>
      </c>
      <c r="N233" s="181" t="s">
        <v>2813</v>
      </c>
      <c r="O233" s="139" t="s">
        <v>782</v>
      </c>
      <c r="P233" s="142">
        <v>31176</v>
      </c>
      <c r="Q233" s="143">
        <v>31</v>
      </c>
      <c r="R233" s="151" t="s">
        <v>1001</v>
      </c>
      <c r="S233" s="139" t="s">
        <v>879</v>
      </c>
      <c r="T233" s="139" t="s">
        <v>1002</v>
      </c>
      <c r="U233" s="139" t="s">
        <v>1132</v>
      </c>
      <c r="V233" s="139" t="s">
        <v>2814</v>
      </c>
      <c r="W233" s="139" t="s">
        <v>1005</v>
      </c>
      <c r="X233" s="139" t="s">
        <v>1006</v>
      </c>
      <c r="Y233" s="139" t="s">
        <v>2815</v>
      </c>
      <c r="Z233" s="139" t="s">
        <v>2069</v>
      </c>
      <c r="AA233" s="152">
        <v>40725</v>
      </c>
      <c r="AB233" s="153">
        <v>15258508282</v>
      </c>
      <c r="AC233" s="208" t="s">
        <v>2816</v>
      </c>
      <c r="AD233" s="149" t="s">
        <v>2817</v>
      </c>
      <c r="AE233" s="149" t="s">
        <v>2818</v>
      </c>
      <c r="AF233" s="153" t="s">
        <v>2819</v>
      </c>
      <c r="AG233" s="149" t="s">
        <v>1167</v>
      </c>
      <c r="AH233" s="153">
        <v>13750887645</v>
      </c>
      <c r="AI233" s="149">
        <v>0</v>
      </c>
      <c r="AJ233" s="149">
        <v>0</v>
      </c>
      <c r="AK233" s="149" t="s">
        <v>2820</v>
      </c>
      <c r="AL233" s="142">
        <v>42779</v>
      </c>
      <c r="AM233" s="142">
        <f>EDATE(AL233,36)</f>
        <v>43874</v>
      </c>
      <c r="AN233" s="148"/>
      <c r="AO233" s="139"/>
      <c r="AP233" s="139"/>
      <c r="AQ233" s="137"/>
    </row>
    <row r="234" customHeight="1" spans="1:43">
      <c r="A234" s="122">
        <v>233</v>
      </c>
      <c r="B234" s="140">
        <v>42788</v>
      </c>
      <c r="C234" s="226" t="s">
        <v>1026</v>
      </c>
      <c r="D234" s="122" t="s">
        <v>1127</v>
      </c>
      <c r="E234" s="122"/>
      <c r="F234" s="141" t="s">
        <v>2821</v>
      </c>
      <c r="G234" s="141" t="s">
        <v>1530</v>
      </c>
      <c r="H234" s="137" t="s">
        <v>2755</v>
      </c>
      <c r="I234" s="139" t="s">
        <v>1226</v>
      </c>
      <c r="J234" s="139" t="s">
        <v>1227</v>
      </c>
      <c r="K234" s="139" t="s">
        <v>227</v>
      </c>
      <c r="L234" s="142">
        <v>42513</v>
      </c>
      <c r="M234" s="139" t="str">
        <f ca="1" t="shared" si="12"/>
        <v>9年8个月</v>
      </c>
      <c r="N234" s="181" t="s">
        <v>2822</v>
      </c>
      <c r="O234" s="139" t="s">
        <v>782</v>
      </c>
      <c r="P234" s="142">
        <v>32974</v>
      </c>
      <c r="Q234" s="143">
        <v>26</v>
      </c>
      <c r="R234" s="151" t="s">
        <v>1001</v>
      </c>
      <c r="S234" s="139" t="s">
        <v>785</v>
      </c>
      <c r="T234" s="139" t="s">
        <v>1002</v>
      </c>
      <c r="U234" s="139" t="s">
        <v>2823</v>
      </c>
      <c r="V234" s="139" t="s">
        <v>2824</v>
      </c>
      <c r="W234" s="139" t="s">
        <v>1005</v>
      </c>
      <c r="X234" s="139" t="s">
        <v>974</v>
      </c>
      <c r="Y234" s="139" t="s">
        <v>2825</v>
      </c>
      <c r="Z234" s="139" t="s">
        <v>2826</v>
      </c>
      <c r="AA234" s="152"/>
      <c r="AB234" s="153">
        <v>13376816826</v>
      </c>
      <c r="AC234" s="208" t="s">
        <v>2827</v>
      </c>
      <c r="AD234" s="149" t="s">
        <v>2828</v>
      </c>
      <c r="AE234" s="149" t="s">
        <v>2829</v>
      </c>
      <c r="AF234" s="153" t="s">
        <v>2830</v>
      </c>
      <c r="AG234" s="149" t="s">
        <v>1097</v>
      </c>
      <c r="AH234" s="153">
        <v>13783021097</v>
      </c>
      <c r="AI234" s="149" t="s">
        <v>1060</v>
      </c>
      <c r="AJ234" s="149"/>
      <c r="AK234" s="149"/>
      <c r="AL234" s="142">
        <v>42513</v>
      </c>
      <c r="AM234" s="142">
        <v>43243</v>
      </c>
      <c r="AN234" s="148">
        <f ca="1">ROUND(AM234-NOW(),0)</f>
        <v>-2809</v>
      </c>
      <c r="AO234" s="139"/>
      <c r="AP234" s="139"/>
      <c r="AQ234" s="137"/>
    </row>
    <row r="235" customHeight="1" spans="1:43">
      <c r="A235" s="122">
        <v>234</v>
      </c>
      <c r="B235" s="126">
        <v>42789</v>
      </c>
      <c r="C235" s="237" t="s">
        <v>1026</v>
      </c>
      <c r="D235" s="132" t="s">
        <v>1127</v>
      </c>
      <c r="E235" s="132"/>
      <c r="F235" s="239" t="s">
        <v>2831</v>
      </c>
      <c r="G235" s="240" t="s">
        <v>1355</v>
      </c>
      <c r="H235" s="240" t="s">
        <v>2832</v>
      </c>
      <c r="I235" s="237" t="s">
        <v>27</v>
      </c>
      <c r="J235" s="237" t="s">
        <v>803</v>
      </c>
      <c r="K235" s="237" t="s">
        <v>21</v>
      </c>
      <c r="L235" s="236">
        <v>42779</v>
      </c>
      <c r="M235" s="236" t="str">
        <f ca="1" t="shared" si="12"/>
        <v>8年11个月</v>
      </c>
      <c r="N235" s="241" t="s">
        <v>2833</v>
      </c>
      <c r="O235" s="237" t="s">
        <v>782</v>
      </c>
      <c r="P235" s="242">
        <v>35438</v>
      </c>
      <c r="Q235" s="237">
        <v>20</v>
      </c>
      <c r="R235" s="243" t="s">
        <v>784</v>
      </c>
      <c r="S235" s="237" t="s">
        <v>785</v>
      </c>
      <c r="T235" s="237" t="s">
        <v>1002</v>
      </c>
      <c r="U235" s="237" t="s">
        <v>1191</v>
      </c>
      <c r="V235" s="237" t="s">
        <v>2834</v>
      </c>
      <c r="W235" s="237" t="s">
        <v>1005</v>
      </c>
      <c r="X235" s="237" t="s">
        <v>1006</v>
      </c>
      <c r="Y235" s="237" t="s">
        <v>2718</v>
      </c>
      <c r="Z235" s="237" t="s">
        <v>2835</v>
      </c>
      <c r="AA235" s="244">
        <v>43647</v>
      </c>
      <c r="AB235" s="245">
        <v>18946762481</v>
      </c>
      <c r="AC235" s="239" t="s">
        <v>2836</v>
      </c>
      <c r="AD235" s="246" t="s">
        <v>2837</v>
      </c>
      <c r="AE235" s="247" t="s">
        <v>2838</v>
      </c>
      <c r="AF235" s="248" t="s">
        <v>2839</v>
      </c>
      <c r="AG235" s="247" t="s">
        <v>1097</v>
      </c>
      <c r="AH235" s="248">
        <v>13811216050</v>
      </c>
      <c r="AI235" s="247" t="s">
        <v>1087</v>
      </c>
      <c r="AJ235" s="247">
        <v>0</v>
      </c>
      <c r="AK235" s="247" t="s">
        <v>2840</v>
      </c>
      <c r="AL235" s="236"/>
      <c r="AM235" s="242"/>
      <c r="AN235" s="249"/>
      <c r="AO235" s="237"/>
      <c r="AP235" s="237"/>
      <c r="AQ235" s="240"/>
    </row>
    <row r="236" customHeight="1" spans="1:43">
      <c r="A236" s="122">
        <v>235</v>
      </c>
      <c r="B236" s="126">
        <v>42790</v>
      </c>
      <c r="C236" s="237" t="s">
        <v>1026</v>
      </c>
      <c r="D236" s="238" t="s">
        <v>2043</v>
      </c>
      <c r="E236" s="132"/>
      <c r="F236" s="239" t="s">
        <v>2841</v>
      </c>
      <c r="G236" s="240" t="s">
        <v>18</v>
      </c>
      <c r="H236" s="240" t="s">
        <v>18</v>
      </c>
      <c r="I236" s="237" t="s">
        <v>27</v>
      </c>
      <c r="J236" s="237" t="s">
        <v>803</v>
      </c>
      <c r="K236" s="237" t="s">
        <v>21</v>
      </c>
      <c r="L236" s="236">
        <v>42191</v>
      </c>
      <c r="M236" s="236" t="str">
        <f ca="1" t="shared" si="12"/>
        <v>10年6个月</v>
      </c>
      <c r="N236" s="241" t="s">
        <v>2842</v>
      </c>
      <c r="O236" s="237" t="s">
        <v>782</v>
      </c>
      <c r="P236" s="242">
        <v>34693</v>
      </c>
      <c r="Q236" s="237">
        <f ca="1">IF(N236="","",IF(AND(LEN(N236)&lt;&gt;15,LEN(N236)&lt;&gt;18),"错误",ROUNDDOWN((NOW()-P236)/365,0)))</f>
        <v>31</v>
      </c>
      <c r="R236" s="243" t="s">
        <v>1001</v>
      </c>
      <c r="S236" s="237" t="s">
        <v>785</v>
      </c>
      <c r="T236" s="237" t="s">
        <v>1002</v>
      </c>
      <c r="U236" s="237" t="s">
        <v>1588</v>
      </c>
      <c r="V236" s="237" t="s">
        <v>1588</v>
      </c>
      <c r="W236" s="237" t="s">
        <v>1054</v>
      </c>
      <c r="X236" s="237" t="s">
        <v>1006</v>
      </c>
      <c r="Y236" s="237" t="s">
        <v>1031</v>
      </c>
      <c r="Z236" s="237" t="s">
        <v>1218</v>
      </c>
      <c r="AA236" s="244">
        <v>42887</v>
      </c>
      <c r="AB236" s="245">
        <v>18811781015</v>
      </c>
      <c r="AC236" s="239" t="s">
        <v>2843</v>
      </c>
      <c r="AD236" s="246" t="s">
        <v>2844</v>
      </c>
      <c r="AE236" s="247" t="s">
        <v>2845</v>
      </c>
      <c r="AF236" s="248" t="s">
        <v>1131</v>
      </c>
      <c r="AG236" s="247" t="s">
        <v>1131</v>
      </c>
      <c r="AH236" s="248" t="s">
        <v>1131</v>
      </c>
      <c r="AI236" s="247" t="s">
        <v>1035</v>
      </c>
      <c r="AJ236" s="247" t="s">
        <v>28</v>
      </c>
      <c r="AK236" s="247"/>
      <c r="AL236" s="236"/>
      <c r="AM236" s="242"/>
      <c r="AN236" s="249"/>
      <c r="AO236" s="237"/>
      <c r="AP236" s="237"/>
      <c r="AQ236" s="240"/>
    </row>
    <row r="237" customHeight="1" spans="1:43">
      <c r="A237" s="122">
        <v>236</v>
      </c>
      <c r="B237" s="126">
        <v>42790</v>
      </c>
      <c r="C237" s="237" t="s">
        <v>1026</v>
      </c>
      <c r="D237" s="132" t="s">
        <v>2846</v>
      </c>
      <c r="E237" s="132"/>
      <c r="F237" s="127" t="s">
        <v>1853</v>
      </c>
      <c r="G237" s="123" t="s">
        <v>2847</v>
      </c>
      <c r="H237" s="123" t="s">
        <v>2848</v>
      </c>
      <c r="I237" s="125" t="s">
        <v>27</v>
      </c>
      <c r="J237" s="125" t="s">
        <v>803</v>
      </c>
      <c r="K237" s="125" t="s">
        <v>21</v>
      </c>
      <c r="L237" s="126">
        <v>42212</v>
      </c>
      <c r="M237" s="126" t="str">
        <f ca="1" t="shared" si="12"/>
        <v>10年6个月</v>
      </c>
      <c r="N237" s="183" t="s">
        <v>2849</v>
      </c>
      <c r="O237" s="125" t="s">
        <v>782</v>
      </c>
      <c r="P237" s="128">
        <v>34697</v>
      </c>
      <c r="Q237" s="125">
        <f ca="1">IF(N237="","",IF(AND(LEN(N237)&lt;&gt;15,LEN(N237)&lt;&gt;18),"错误",ROUNDDOWN((NOW()-P237)/365,0)))</f>
        <v>31</v>
      </c>
      <c r="R237" s="155" t="s">
        <v>1001</v>
      </c>
      <c r="S237" s="125" t="s">
        <v>785</v>
      </c>
      <c r="T237" s="125" t="s">
        <v>1002</v>
      </c>
      <c r="U237" s="125" t="s">
        <v>348</v>
      </c>
      <c r="V237" s="125" t="s">
        <v>1042</v>
      </c>
      <c r="W237" s="125" t="s">
        <v>1005</v>
      </c>
      <c r="X237" s="125" t="s">
        <v>1006</v>
      </c>
      <c r="Y237" s="125" t="s">
        <v>1109</v>
      </c>
      <c r="Z237" s="125" t="s">
        <v>824</v>
      </c>
      <c r="AA237" s="156">
        <v>42887</v>
      </c>
      <c r="AB237" s="177">
        <v>15511668660</v>
      </c>
      <c r="AC237" s="217" t="s">
        <v>2850</v>
      </c>
      <c r="AD237" s="178" t="s">
        <v>2851</v>
      </c>
      <c r="AE237" s="136" t="s">
        <v>2852</v>
      </c>
      <c r="AF237" s="157" t="s">
        <v>2853</v>
      </c>
      <c r="AG237" s="136" t="s">
        <v>1097</v>
      </c>
      <c r="AH237" s="157">
        <v>13731080867</v>
      </c>
      <c r="AI237" s="136" t="s">
        <v>1035</v>
      </c>
      <c r="AJ237" s="136" t="s">
        <v>105</v>
      </c>
      <c r="AK237" s="136"/>
      <c r="AL237" s="126"/>
      <c r="AM237" s="128"/>
      <c r="AN237" s="135"/>
      <c r="AO237" s="125"/>
      <c r="AP237" s="125" t="s">
        <v>2854</v>
      </c>
      <c r="AQ237" s="123"/>
    </row>
    <row r="238" customHeight="1" spans="1:43">
      <c r="A238" s="122">
        <v>237</v>
      </c>
      <c r="B238" s="140">
        <v>42794</v>
      </c>
      <c r="C238" s="139" t="s">
        <v>1013</v>
      </c>
      <c r="D238" s="122" t="s">
        <v>2855</v>
      </c>
      <c r="E238" s="122"/>
      <c r="F238" s="141" t="s">
        <v>2856</v>
      </c>
      <c r="G238" s="212" t="s">
        <v>1530</v>
      </c>
      <c r="H238" s="137" t="s">
        <v>2857</v>
      </c>
      <c r="I238" s="139" t="s">
        <v>1207</v>
      </c>
      <c r="J238" s="139" t="s">
        <v>803</v>
      </c>
      <c r="K238" s="139" t="s">
        <v>21</v>
      </c>
      <c r="L238" s="142">
        <v>42149</v>
      </c>
      <c r="M238" s="139" t="str">
        <f ca="1" t="shared" si="12"/>
        <v>10年8个月</v>
      </c>
      <c r="N238" s="181" t="s">
        <v>2858</v>
      </c>
      <c r="O238" s="139" t="s">
        <v>782</v>
      </c>
      <c r="P238" s="142">
        <v>33063</v>
      </c>
      <c r="Q238" s="143">
        <f ca="1">IF(N238="","",IF(AND(LEN(N238)&lt;&gt;15,LEN(N238)&lt;&gt;18),"错误",ROUNDDOWN((NOW()-P238)/365,0)))</f>
        <v>35</v>
      </c>
      <c r="R238" s="151" t="s">
        <v>1001</v>
      </c>
      <c r="S238" s="139" t="s">
        <v>785</v>
      </c>
      <c r="T238" s="139" t="s">
        <v>1002</v>
      </c>
      <c r="U238" s="139" t="s">
        <v>2859</v>
      </c>
      <c r="V238" s="139" t="s">
        <v>2860</v>
      </c>
      <c r="W238" s="139" t="s">
        <v>1005</v>
      </c>
      <c r="X238" s="139" t="s">
        <v>1006</v>
      </c>
      <c r="Y238" s="139" t="s">
        <v>2861</v>
      </c>
      <c r="Z238" s="139" t="s">
        <v>1056</v>
      </c>
      <c r="AA238" s="152">
        <v>41061</v>
      </c>
      <c r="AB238" s="153">
        <v>13581602279</v>
      </c>
      <c r="AC238" s="208" t="s">
        <v>2862</v>
      </c>
      <c r="AD238" s="149" t="s">
        <v>2863</v>
      </c>
      <c r="AE238" s="149" t="s">
        <v>2864</v>
      </c>
      <c r="AF238" s="153" t="s">
        <v>2865</v>
      </c>
      <c r="AG238" s="149" t="s">
        <v>2866</v>
      </c>
      <c r="AH238" s="153">
        <v>18600216179</v>
      </c>
      <c r="AI238" s="149" t="s">
        <v>1060</v>
      </c>
      <c r="AJ238" s="149"/>
      <c r="AK238" s="149"/>
      <c r="AL238" s="142">
        <f>L238</f>
        <v>42149</v>
      </c>
      <c r="AM238" s="142">
        <f>EDATE(AL238,36)-1</f>
        <v>43244</v>
      </c>
      <c r="AN238" s="148">
        <f ca="1">ROUND(AM238-NOW(),0)</f>
        <v>-2808</v>
      </c>
      <c r="AO238" s="139"/>
      <c r="AP238" s="139"/>
      <c r="AQ238" s="137" t="s">
        <v>23</v>
      </c>
    </row>
    <row r="239" customHeight="1" spans="1:43">
      <c r="A239" s="122">
        <v>238</v>
      </c>
      <c r="B239" s="140">
        <v>42794</v>
      </c>
      <c r="C239" s="226" t="s">
        <v>1026</v>
      </c>
      <c r="D239" s="224" t="s">
        <v>2867</v>
      </c>
      <c r="E239" s="122"/>
      <c r="F239" s="212" t="s">
        <v>2868</v>
      </c>
      <c r="G239" s="141" t="s">
        <v>1530</v>
      </c>
      <c r="H239" s="227" t="s">
        <v>2869</v>
      </c>
      <c r="I239" s="226" t="s">
        <v>2870</v>
      </c>
      <c r="J239" s="226" t="s">
        <v>1227</v>
      </c>
      <c r="K239" s="226" t="s">
        <v>227</v>
      </c>
      <c r="L239" s="228">
        <v>42705</v>
      </c>
      <c r="M239" s="226" t="str">
        <f ca="1" t="shared" si="12"/>
        <v>9年1个月</v>
      </c>
      <c r="N239" s="229" t="s">
        <v>2871</v>
      </c>
      <c r="O239" s="226" t="s">
        <v>782</v>
      </c>
      <c r="P239" s="228">
        <v>32522</v>
      </c>
      <c r="Q239" s="230">
        <v>27</v>
      </c>
      <c r="R239" s="231" t="s">
        <v>1001</v>
      </c>
      <c r="S239" s="226" t="s">
        <v>785</v>
      </c>
      <c r="T239" s="226" t="s">
        <v>1002</v>
      </c>
      <c r="U239" s="226" t="s">
        <v>2412</v>
      </c>
      <c r="V239" s="226" t="s">
        <v>2412</v>
      </c>
      <c r="W239" s="226" t="s">
        <v>1005</v>
      </c>
      <c r="X239" s="226" t="s">
        <v>1006</v>
      </c>
      <c r="Y239" s="226" t="s">
        <v>1466</v>
      </c>
      <c r="Z239" s="226" t="s">
        <v>1612</v>
      </c>
      <c r="AA239" s="232">
        <v>40695</v>
      </c>
      <c r="AB239" s="230">
        <v>18680375930</v>
      </c>
      <c r="AC239" s="212" t="s">
        <v>2872</v>
      </c>
      <c r="AD239" s="233" t="s">
        <v>2873</v>
      </c>
      <c r="AE239" s="233" t="s">
        <v>2874</v>
      </c>
      <c r="AF239" s="234" t="s">
        <v>2875</v>
      </c>
      <c r="AG239" s="233" t="s">
        <v>1137</v>
      </c>
      <c r="AH239" s="234">
        <v>18580455718</v>
      </c>
      <c r="AI239" s="233" t="s">
        <v>1604</v>
      </c>
      <c r="AJ239" s="233" t="s">
        <v>2876</v>
      </c>
      <c r="AK239" s="233" t="s">
        <v>2877</v>
      </c>
      <c r="AL239" s="228">
        <v>42706</v>
      </c>
      <c r="AM239" s="228">
        <f>EDATE(AL239,36)</f>
        <v>43801</v>
      </c>
      <c r="AN239" s="235">
        <f ca="1">ROUND(AM239-NOW(),0)</f>
        <v>-2251</v>
      </c>
      <c r="AO239" s="226"/>
      <c r="AP239" s="226"/>
      <c r="AQ239" s="227"/>
    </row>
    <row r="240" customHeight="1" spans="1:43">
      <c r="A240" s="122">
        <v>239</v>
      </c>
      <c r="B240" s="126">
        <v>42795</v>
      </c>
      <c r="C240" s="237" t="s">
        <v>1026</v>
      </c>
      <c r="D240" s="238" t="s">
        <v>2043</v>
      </c>
      <c r="E240" s="132"/>
      <c r="F240" s="127" t="s">
        <v>2878</v>
      </c>
      <c r="G240" s="123" t="s">
        <v>18</v>
      </c>
      <c r="H240" s="123" t="s">
        <v>18</v>
      </c>
      <c r="I240" s="125" t="s">
        <v>27</v>
      </c>
      <c r="J240" s="125" t="s">
        <v>803</v>
      </c>
      <c r="K240" s="125" t="s">
        <v>21</v>
      </c>
      <c r="L240" s="126">
        <v>42597</v>
      </c>
      <c r="M240" s="126" t="str">
        <f ca="1" t="shared" si="12"/>
        <v>9年5个月</v>
      </c>
      <c r="N240" s="183" t="s">
        <v>2879</v>
      </c>
      <c r="O240" s="125" t="s">
        <v>782</v>
      </c>
      <c r="P240" s="128">
        <v>35123</v>
      </c>
      <c r="Q240" s="125">
        <v>20</v>
      </c>
      <c r="R240" s="155" t="s">
        <v>784</v>
      </c>
      <c r="S240" s="125" t="s">
        <v>785</v>
      </c>
      <c r="T240" s="125" t="s">
        <v>1002</v>
      </c>
      <c r="U240" s="125" t="s">
        <v>2880</v>
      </c>
      <c r="V240" s="125" t="s">
        <v>2881</v>
      </c>
      <c r="W240" s="125" t="s">
        <v>1005</v>
      </c>
      <c r="X240" s="125" t="s">
        <v>1006</v>
      </c>
      <c r="Y240" s="125" t="s">
        <v>1031</v>
      </c>
      <c r="Z240" s="125" t="s">
        <v>1285</v>
      </c>
      <c r="AA240" s="156">
        <v>43282</v>
      </c>
      <c r="AB240" s="177">
        <v>17888836939</v>
      </c>
      <c r="AC240" s="217" t="s">
        <v>2882</v>
      </c>
      <c r="AD240" s="178" t="s">
        <v>2883</v>
      </c>
      <c r="AE240" s="136" t="s">
        <v>2884</v>
      </c>
      <c r="AF240" s="157" t="s">
        <v>2885</v>
      </c>
      <c r="AG240" s="136" t="s">
        <v>2886</v>
      </c>
      <c r="AH240" s="157">
        <v>13691085207</v>
      </c>
      <c r="AI240" s="136" t="s">
        <v>1035</v>
      </c>
      <c r="AJ240" s="136" t="s">
        <v>236</v>
      </c>
      <c r="AK240" s="136"/>
      <c r="AL240" s="126"/>
      <c r="AM240" s="128"/>
      <c r="AN240" s="135"/>
      <c r="AO240" s="125"/>
      <c r="AP240" s="125"/>
      <c r="AQ240" s="123"/>
    </row>
    <row r="241" customHeight="1" spans="1:43">
      <c r="A241" s="122">
        <v>240</v>
      </c>
      <c r="B241" s="126">
        <v>42796</v>
      </c>
      <c r="C241" s="237" t="s">
        <v>1026</v>
      </c>
      <c r="D241" s="238" t="s">
        <v>2043</v>
      </c>
      <c r="E241" s="132"/>
      <c r="F241" s="127" t="s">
        <v>2887</v>
      </c>
      <c r="G241" s="123" t="s">
        <v>18</v>
      </c>
      <c r="H241" s="123" t="s">
        <v>18</v>
      </c>
      <c r="I241" s="125" t="s">
        <v>27</v>
      </c>
      <c r="J241" s="125" t="s">
        <v>803</v>
      </c>
      <c r="K241" s="125" t="s">
        <v>21</v>
      </c>
      <c r="L241" s="126">
        <v>42549</v>
      </c>
      <c r="M241" s="126" t="str">
        <f ca="1" t="shared" si="12"/>
        <v>9年7个月</v>
      </c>
      <c r="N241" s="183" t="s">
        <v>2888</v>
      </c>
      <c r="O241" s="125" t="s">
        <v>782</v>
      </c>
      <c r="P241" s="128">
        <v>35308</v>
      </c>
      <c r="Q241" s="125">
        <f ca="1">IF(N241="","",IF(AND(LEN(N241)&lt;&gt;15,LEN(N241)&lt;&gt;18),"错误",ROUNDDOWN((NOW()-P241)/365,0)))</f>
        <v>29</v>
      </c>
      <c r="R241" s="155" t="s">
        <v>784</v>
      </c>
      <c r="S241" s="125" t="s">
        <v>785</v>
      </c>
      <c r="T241" s="125" t="s">
        <v>1002</v>
      </c>
      <c r="U241" s="125" t="s">
        <v>2889</v>
      </c>
      <c r="V241" s="125" t="s">
        <v>2890</v>
      </c>
      <c r="W241" s="125" t="s">
        <v>1005</v>
      </c>
      <c r="X241" s="125" t="s">
        <v>1006</v>
      </c>
      <c r="Y241" s="125" t="s">
        <v>1031</v>
      </c>
      <c r="Z241" s="125" t="s">
        <v>993</v>
      </c>
      <c r="AA241" s="156">
        <v>43252</v>
      </c>
      <c r="AB241" s="177">
        <v>17888842628</v>
      </c>
      <c r="AC241" s="217" t="s">
        <v>2891</v>
      </c>
      <c r="AD241" s="178" t="s">
        <v>2892</v>
      </c>
      <c r="AE241" s="136" t="s">
        <v>2890</v>
      </c>
      <c r="AF241" s="157" t="s">
        <v>2893</v>
      </c>
      <c r="AG241" s="136" t="s">
        <v>1137</v>
      </c>
      <c r="AH241" s="157">
        <v>13872558020</v>
      </c>
      <c r="AI241" s="136" t="s">
        <v>1035</v>
      </c>
      <c r="AJ241" s="136" t="s">
        <v>579</v>
      </c>
      <c r="AK241" s="136"/>
      <c r="AL241" s="126"/>
      <c r="AM241" s="128"/>
      <c r="AN241" s="135"/>
      <c r="AO241" s="125"/>
      <c r="AP241" s="125"/>
      <c r="AQ241" s="123"/>
    </row>
    <row r="242" customHeight="1" spans="1:43">
      <c r="A242" s="122">
        <v>241</v>
      </c>
      <c r="B242" s="140">
        <v>42797</v>
      </c>
      <c r="C242" s="226" t="s">
        <v>1026</v>
      </c>
      <c r="D242" s="224" t="s">
        <v>1127</v>
      </c>
      <c r="E242" s="122"/>
      <c r="F242" s="212" t="s">
        <v>2894</v>
      </c>
      <c r="G242" s="141" t="s">
        <v>1530</v>
      </c>
      <c r="H242" s="227" t="s">
        <v>2755</v>
      </c>
      <c r="I242" s="226" t="s">
        <v>1226</v>
      </c>
      <c r="J242" s="226" t="s">
        <v>1227</v>
      </c>
      <c r="K242" s="226" t="s">
        <v>227</v>
      </c>
      <c r="L242" s="228">
        <v>42286</v>
      </c>
      <c r="M242" s="226" t="str">
        <f ca="1" t="shared" si="12"/>
        <v>10年3个月</v>
      </c>
      <c r="N242" s="229" t="s">
        <v>2895</v>
      </c>
      <c r="O242" s="226" t="s">
        <v>782</v>
      </c>
      <c r="P242" s="228">
        <v>32004</v>
      </c>
      <c r="Q242" s="230">
        <v>29</v>
      </c>
      <c r="R242" s="231" t="s">
        <v>1001</v>
      </c>
      <c r="S242" s="226" t="s">
        <v>879</v>
      </c>
      <c r="T242" s="226" t="s">
        <v>1002</v>
      </c>
      <c r="U242" s="226" t="s">
        <v>2896</v>
      </c>
      <c r="V242" s="226" t="s">
        <v>2279</v>
      </c>
      <c r="W242" s="226" t="s">
        <v>1005</v>
      </c>
      <c r="X242" s="226" t="s">
        <v>974</v>
      </c>
      <c r="Y242" s="226" t="s">
        <v>2897</v>
      </c>
      <c r="Z242" s="226" t="s">
        <v>2898</v>
      </c>
      <c r="AA242" s="232">
        <v>41456</v>
      </c>
      <c r="AB242" s="230" t="s">
        <v>2899</v>
      </c>
      <c r="AC242" s="212" t="s">
        <v>2900</v>
      </c>
      <c r="AD242" s="233"/>
      <c r="AE242" s="233" t="s">
        <v>2901</v>
      </c>
      <c r="AF242" s="234" t="s">
        <v>2902</v>
      </c>
      <c r="AG242" s="233" t="s">
        <v>1167</v>
      </c>
      <c r="AH242" s="234">
        <v>13083958831</v>
      </c>
      <c r="AI242" s="233" t="s">
        <v>1084</v>
      </c>
      <c r="AJ242" s="233"/>
      <c r="AK242" s="233"/>
      <c r="AL242" s="228">
        <v>42286</v>
      </c>
      <c r="AM242" s="228">
        <v>43016</v>
      </c>
      <c r="AN242" s="235">
        <f ca="1">ROUND(AM242-NOW(),0)</f>
        <v>-3036</v>
      </c>
      <c r="AO242" s="226"/>
      <c r="AP242" s="226"/>
      <c r="AQ242" s="227"/>
    </row>
    <row r="243" customHeight="1" spans="1:43">
      <c r="A243" s="122">
        <v>242</v>
      </c>
      <c r="B243" s="140">
        <v>42797</v>
      </c>
      <c r="C243" s="226" t="s">
        <v>1013</v>
      </c>
      <c r="D243" s="224"/>
      <c r="E243" s="122"/>
      <c r="F243" s="212" t="s">
        <v>2903</v>
      </c>
      <c r="G243" s="227" t="s">
        <v>1530</v>
      </c>
      <c r="H243" s="227" t="s">
        <v>2904</v>
      </c>
      <c r="I243" s="226" t="s">
        <v>241</v>
      </c>
      <c r="J243" s="226" t="s">
        <v>803</v>
      </c>
      <c r="K243" s="226" t="s">
        <v>21</v>
      </c>
      <c r="L243" s="228">
        <v>42717</v>
      </c>
      <c r="M243" s="226" t="str">
        <f ca="1" t="shared" si="12"/>
        <v>9年1个月</v>
      </c>
      <c r="N243" s="229" t="s">
        <v>2905</v>
      </c>
      <c r="O243" s="226" t="s">
        <v>782</v>
      </c>
      <c r="P243" s="228">
        <v>27000</v>
      </c>
      <c r="Q243" s="230">
        <v>43</v>
      </c>
      <c r="R243" s="231" t="s">
        <v>1001</v>
      </c>
      <c r="S243" s="226" t="s">
        <v>879</v>
      </c>
      <c r="T243" s="226" t="s">
        <v>1051</v>
      </c>
      <c r="U243" s="226" t="s">
        <v>365</v>
      </c>
      <c r="V243" s="226" t="s">
        <v>2906</v>
      </c>
      <c r="W243" s="226" t="s">
        <v>1005</v>
      </c>
      <c r="X243" s="226" t="s">
        <v>1161</v>
      </c>
      <c r="Y243" s="226" t="s">
        <v>2907</v>
      </c>
      <c r="Z243" s="226" t="s">
        <v>2908</v>
      </c>
      <c r="AA243" s="232">
        <v>39783</v>
      </c>
      <c r="AB243" s="230">
        <v>18611266800</v>
      </c>
      <c r="AC243" s="212" t="s">
        <v>2909</v>
      </c>
      <c r="AD243" s="233" t="s">
        <v>2910</v>
      </c>
      <c r="AE243" s="233" t="s">
        <v>2911</v>
      </c>
      <c r="AF243" s="234" t="s">
        <v>2912</v>
      </c>
      <c r="AG243" s="233" t="s">
        <v>1167</v>
      </c>
      <c r="AH243" s="234">
        <v>18601998185</v>
      </c>
      <c r="AI243" s="233" t="s">
        <v>1035</v>
      </c>
      <c r="AJ243" s="233" t="s">
        <v>476</v>
      </c>
      <c r="AK243" s="233" t="s">
        <v>2913</v>
      </c>
      <c r="AL243" s="228">
        <v>42732</v>
      </c>
      <c r="AM243" s="228">
        <f>EDATE(AL243,36)</f>
        <v>43827</v>
      </c>
      <c r="AN243" s="235">
        <f ca="1">ROUND(AM243-NOW(),0)</f>
        <v>-2225</v>
      </c>
      <c r="AO243" s="226"/>
      <c r="AP243" s="226"/>
      <c r="AQ243" s="227"/>
    </row>
    <row r="244" customHeight="1" spans="1:43">
      <c r="A244" s="122">
        <v>243</v>
      </c>
      <c r="B244" s="126">
        <v>42797</v>
      </c>
      <c r="C244" s="237" t="s">
        <v>1026</v>
      </c>
      <c r="D244" s="238" t="s">
        <v>2914</v>
      </c>
      <c r="E244" s="132"/>
      <c r="F244" s="127" t="s">
        <v>2740</v>
      </c>
      <c r="G244" s="123" t="s">
        <v>1566</v>
      </c>
      <c r="H244" s="123" t="s">
        <v>1566</v>
      </c>
      <c r="I244" s="125" t="s">
        <v>27</v>
      </c>
      <c r="J244" s="125" t="s">
        <v>803</v>
      </c>
      <c r="K244" s="125" t="s">
        <v>21</v>
      </c>
      <c r="L244" s="126">
        <v>42681</v>
      </c>
      <c r="M244" s="126" t="str">
        <f ca="1" t="shared" si="12"/>
        <v>9年2个月</v>
      </c>
      <c r="N244" s="183" t="s">
        <v>2915</v>
      </c>
      <c r="O244" s="125" t="s">
        <v>794</v>
      </c>
      <c r="P244" s="128">
        <v>34642</v>
      </c>
      <c r="Q244" s="125">
        <v>22</v>
      </c>
      <c r="R244" s="155" t="s">
        <v>784</v>
      </c>
      <c r="S244" s="125" t="s">
        <v>785</v>
      </c>
      <c r="T244" s="125" t="s">
        <v>1002</v>
      </c>
      <c r="U244" s="125" t="s">
        <v>2412</v>
      </c>
      <c r="V244" s="125" t="s">
        <v>2735</v>
      </c>
      <c r="W244" s="125" t="s">
        <v>1005</v>
      </c>
      <c r="X244" s="125" t="s">
        <v>1006</v>
      </c>
      <c r="Y244" s="125" t="s">
        <v>2916</v>
      </c>
      <c r="Z244" s="125" t="s">
        <v>226</v>
      </c>
      <c r="AA244" s="156">
        <v>42917</v>
      </c>
      <c r="AB244" s="177">
        <v>13269856785</v>
      </c>
      <c r="AC244" s="217" t="s">
        <v>2917</v>
      </c>
      <c r="AD244" s="178" t="s">
        <v>2918</v>
      </c>
      <c r="AE244" s="136" t="s">
        <v>2738</v>
      </c>
      <c r="AF244" s="157" t="s">
        <v>2919</v>
      </c>
      <c r="AG244" s="136" t="s">
        <v>1309</v>
      </c>
      <c r="AH244" s="157">
        <v>13178099540</v>
      </c>
      <c r="AI244" s="136" t="s">
        <v>1060</v>
      </c>
      <c r="AJ244" s="136" t="s">
        <v>1131</v>
      </c>
      <c r="AK244" s="136" t="s">
        <v>2920</v>
      </c>
      <c r="AL244" s="126"/>
      <c r="AM244" s="128"/>
      <c r="AN244" s="135"/>
      <c r="AO244" s="125"/>
      <c r="AP244" s="125"/>
      <c r="AQ244" s="123"/>
    </row>
    <row r="245" customHeight="1" spans="1:43">
      <c r="A245" s="122">
        <v>244</v>
      </c>
      <c r="B245" s="140">
        <v>42802</v>
      </c>
      <c r="C245" s="226" t="s">
        <v>1026</v>
      </c>
      <c r="D245" s="224" t="s">
        <v>1127</v>
      </c>
      <c r="E245" s="122"/>
      <c r="F245" s="212" t="s">
        <v>2921</v>
      </c>
      <c r="G245" s="141" t="s">
        <v>1530</v>
      </c>
      <c r="H245" s="227" t="s">
        <v>2755</v>
      </c>
      <c r="I245" s="226" t="s">
        <v>2922</v>
      </c>
      <c r="J245" s="226" t="s">
        <v>1227</v>
      </c>
      <c r="K245" s="226" t="s">
        <v>227</v>
      </c>
      <c r="L245" s="228">
        <v>42255</v>
      </c>
      <c r="M245" s="226" t="str">
        <f ca="1" t="shared" si="12"/>
        <v>10年4个月</v>
      </c>
      <c r="N245" s="229" t="s">
        <v>2923</v>
      </c>
      <c r="O245" s="226" t="s">
        <v>782</v>
      </c>
      <c r="P245" s="228">
        <v>29679</v>
      </c>
      <c r="Q245" s="230">
        <v>35</v>
      </c>
      <c r="R245" s="231" t="s">
        <v>1001</v>
      </c>
      <c r="S245" s="226" t="s">
        <v>879</v>
      </c>
      <c r="T245" s="226" t="s">
        <v>1292</v>
      </c>
      <c r="U245" s="226" t="s">
        <v>2924</v>
      </c>
      <c r="V245" s="226" t="s">
        <v>2925</v>
      </c>
      <c r="W245" s="226" t="s">
        <v>1005</v>
      </c>
      <c r="X245" s="226"/>
      <c r="Y245" s="226"/>
      <c r="Z245" s="226"/>
      <c r="AA245" s="232"/>
      <c r="AB245" s="230" t="s">
        <v>2926</v>
      </c>
      <c r="AC245" s="212" t="s">
        <v>2927</v>
      </c>
      <c r="AD245" s="233"/>
      <c r="AE245" s="233" t="s">
        <v>2928</v>
      </c>
      <c r="AF245" s="234"/>
      <c r="AG245" s="233"/>
      <c r="AH245" s="234"/>
      <c r="AI245" s="233" t="s">
        <v>1084</v>
      </c>
      <c r="AJ245" s="233"/>
      <c r="AK245" s="233"/>
      <c r="AL245" s="228">
        <v>42621</v>
      </c>
      <c r="AM245" s="228">
        <v>43715</v>
      </c>
      <c r="AN245" s="235">
        <f ca="1">ROUND(AM245-NOW(),0)</f>
        <v>-2337</v>
      </c>
      <c r="AO245" s="226" t="s">
        <v>2929</v>
      </c>
      <c r="AP245" s="226"/>
      <c r="AQ245" s="227" t="s">
        <v>23</v>
      </c>
    </row>
    <row r="246" customHeight="1" spans="1:43">
      <c r="A246" s="122">
        <v>245</v>
      </c>
      <c r="B246" s="126">
        <v>42800</v>
      </c>
      <c r="C246" s="237" t="s">
        <v>1026</v>
      </c>
      <c r="D246" s="238" t="s">
        <v>2043</v>
      </c>
      <c r="E246" s="132"/>
      <c r="F246" s="127" t="s">
        <v>2930</v>
      </c>
      <c r="G246" s="123" t="s">
        <v>1530</v>
      </c>
      <c r="H246" s="123" t="s">
        <v>2931</v>
      </c>
      <c r="I246" s="125" t="s">
        <v>27</v>
      </c>
      <c r="J246" s="125" t="s">
        <v>803</v>
      </c>
      <c r="K246" s="125" t="s">
        <v>21</v>
      </c>
      <c r="L246" s="126">
        <v>42709</v>
      </c>
      <c r="M246" s="126" t="str">
        <f ca="1" t="shared" si="12"/>
        <v>9年1个月</v>
      </c>
      <c r="N246" s="183" t="s">
        <v>2932</v>
      </c>
      <c r="O246" s="125" t="s">
        <v>794</v>
      </c>
      <c r="P246" s="128">
        <v>35211</v>
      </c>
      <c r="Q246" s="125">
        <v>20</v>
      </c>
      <c r="R246" s="155" t="s">
        <v>784</v>
      </c>
      <c r="S246" s="125" t="s">
        <v>785</v>
      </c>
      <c r="T246" s="125" t="s">
        <v>1002</v>
      </c>
      <c r="U246" s="125" t="s">
        <v>2933</v>
      </c>
      <c r="V246" s="125" t="s">
        <v>2934</v>
      </c>
      <c r="W246" s="125" t="s">
        <v>1005</v>
      </c>
      <c r="X246" s="125" t="s">
        <v>1006</v>
      </c>
      <c r="Y246" s="125" t="s">
        <v>2935</v>
      </c>
      <c r="Z246" s="125" t="s">
        <v>2936</v>
      </c>
      <c r="AA246" s="156">
        <v>43313</v>
      </c>
      <c r="AB246" s="177">
        <v>17888834500</v>
      </c>
      <c r="AC246" s="217" t="s">
        <v>2937</v>
      </c>
      <c r="AD246" s="178" t="s">
        <v>2938</v>
      </c>
      <c r="AE246" s="136" t="s">
        <v>2939</v>
      </c>
      <c r="AF246" s="157" t="s">
        <v>2940</v>
      </c>
      <c r="AG246" s="136" t="s">
        <v>1309</v>
      </c>
      <c r="AH246" s="157">
        <v>13972261488</v>
      </c>
      <c r="AI246" s="136" t="s">
        <v>1087</v>
      </c>
      <c r="AJ246" s="136">
        <v>0</v>
      </c>
      <c r="AK246" s="136">
        <v>0</v>
      </c>
      <c r="AL246" s="126"/>
      <c r="AM246" s="128"/>
      <c r="AN246" s="135"/>
      <c r="AO246" s="125"/>
      <c r="AP246" s="125"/>
      <c r="AQ246" s="123"/>
    </row>
    <row r="247" customHeight="1" spans="1:43">
      <c r="A247" s="122">
        <v>246</v>
      </c>
      <c r="B247" s="126">
        <v>42803</v>
      </c>
      <c r="C247" s="237" t="s">
        <v>1026</v>
      </c>
      <c r="D247" s="238" t="s">
        <v>2043</v>
      </c>
      <c r="E247" s="132"/>
      <c r="F247" s="127" t="s">
        <v>2941</v>
      </c>
      <c r="G247" s="123" t="s">
        <v>480</v>
      </c>
      <c r="H247" s="123" t="s">
        <v>18</v>
      </c>
      <c r="I247" s="125" t="s">
        <v>27</v>
      </c>
      <c r="J247" s="125" t="s">
        <v>803</v>
      </c>
      <c r="K247" s="125" t="s">
        <v>21</v>
      </c>
      <c r="L247" s="126">
        <v>42652</v>
      </c>
      <c r="M247" s="126" t="str">
        <f ca="1" t="shared" si="12"/>
        <v>9年3个月</v>
      </c>
      <c r="N247" s="183" t="s">
        <v>2942</v>
      </c>
      <c r="O247" s="125" t="s">
        <v>782</v>
      </c>
      <c r="P247" s="128">
        <v>34645</v>
      </c>
      <c r="Q247" s="125">
        <v>21</v>
      </c>
      <c r="R247" s="155" t="s">
        <v>1001</v>
      </c>
      <c r="S247" s="125" t="s">
        <v>785</v>
      </c>
      <c r="T247" s="125" t="s">
        <v>1002</v>
      </c>
      <c r="U247" s="125" t="s">
        <v>21</v>
      </c>
      <c r="V247" s="125" t="s">
        <v>2943</v>
      </c>
      <c r="W247" s="125" t="s">
        <v>1005</v>
      </c>
      <c r="X247" s="125" t="s">
        <v>1006</v>
      </c>
      <c r="Y247" s="125" t="s">
        <v>1031</v>
      </c>
      <c r="Z247" s="125" t="s">
        <v>1056</v>
      </c>
      <c r="AA247" s="156">
        <v>42917</v>
      </c>
      <c r="AB247" s="177">
        <v>13436320519</v>
      </c>
      <c r="AC247" s="217" t="s">
        <v>2944</v>
      </c>
      <c r="AD247" s="178" t="s">
        <v>2945</v>
      </c>
      <c r="AE247" s="136" t="s">
        <v>2946</v>
      </c>
      <c r="AF247" s="157" t="s">
        <v>2947</v>
      </c>
      <c r="AG247" s="136" t="s">
        <v>1097</v>
      </c>
      <c r="AH247" s="157">
        <v>13641104683</v>
      </c>
      <c r="AI247" s="136" t="s">
        <v>1087</v>
      </c>
      <c r="AJ247" s="136">
        <v>0</v>
      </c>
      <c r="AK247" s="136" t="s">
        <v>2948</v>
      </c>
      <c r="AL247" s="126"/>
      <c r="AM247" s="128"/>
      <c r="AN247" s="135"/>
      <c r="AO247" s="125"/>
      <c r="AP247" s="125"/>
      <c r="AQ247" s="123"/>
    </row>
    <row r="248" customHeight="1" spans="1:43">
      <c r="A248" s="122">
        <v>247</v>
      </c>
      <c r="B248" s="126">
        <v>42804</v>
      </c>
      <c r="C248" s="237" t="s">
        <v>1026</v>
      </c>
      <c r="D248" s="238" t="s">
        <v>2043</v>
      </c>
      <c r="E248" s="132"/>
      <c r="F248" s="127" t="s">
        <v>2949</v>
      </c>
      <c r="G248" s="123" t="s">
        <v>18</v>
      </c>
      <c r="H248" s="123" t="s">
        <v>18</v>
      </c>
      <c r="I248" s="125" t="s">
        <v>27</v>
      </c>
      <c r="J248" s="125" t="s">
        <v>803</v>
      </c>
      <c r="K248" s="125" t="s">
        <v>21</v>
      </c>
      <c r="L248" s="126">
        <v>42747</v>
      </c>
      <c r="M248" s="126" t="str">
        <f ca="1" t="shared" si="12"/>
        <v>9年0个月</v>
      </c>
      <c r="N248" s="183" t="s">
        <v>2950</v>
      </c>
      <c r="O248" s="125" t="s">
        <v>794</v>
      </c>
      <c r="P248" s="128">
        <v>33768</v>
      </c>
      <c r="Q248" s="125">
        <v>25</v>
      </c>
      <c r="R248" s="155" t="s">
        <v>1001</v>
      </c>
      <c r="S248" s="125" t="s">
        <v>785</v>
      </c>
      <c r="T248" s="125" t="s">
        <v>1002</v>
      </c>
      <c r="U248" s="125" t="s">
        <v>2951</v>
      </c>
      <c r="V248" s="125" t="s">
        <v>2952</v>
      </c>
      <c r="W248" s="125" t="s">
        <v>1005</v>
      </c>
      <c r="X248" s="125" t="s">
        <v>974</v>
      </c>
      <c r="Y248" s="125" t="s">
        <v>2953</v>
      </c>
      <c r="Z248" s="125" t="s">
        <v>1266</v>
      </c>
      <c r="AA248" s="156">
        <v>42705</v>
      </c>
      <c r="AB248" s="177">
        <v>18501957139</v>
      </c>
      <c r="AC248" s="217" t="s">
        <v>2954</v>
      </c>
      <c r="AD248" s="178" t="s">
        <v>2955</v>
      </c>
      <c r="AE248" s="136" t="s">
        <v>1191</v>
      </c>
      <c r="AF248" s="157" t="s">
        <v>434</v>
      </c>
      <c r="AG248" s="136" t="s">
        <v>2956</v>
      </c>
      <c r="AH248" s="157">
        <v>18501957139</v>
      </c>
      <c r="AI248" s="136" t="s">
        <v>1035</v>
      </c>
      <c r="AJ248" s="136" t="s">
        <v>434</v>
      </c>
      <c r="AK248" s="136" t="s">
        <v>2957</v>
      </c>
      <c r="AL248" s="126"/>
      <c r="AM248" s="128"/>
      <c r="AN248" s="135"/>
      <c r="AO248" s="125"/>
      <c r="AP248" s="125"/>
      <c r="AQ248" s="123"/>
    </row>
    <row r="249" customHeight="1" spans="1:43">
      <c r="A249" s="122">
        <v>248</v>
      </c>
      <c r="B249" s="126">
        <v>42802</v>
      </c>
      <c r="C249" s="237" t="s">
        <v>1026</v>
      </c>
      <c r="D249" s="238" t="s">
        <v>1115</v>
      </c>
      <c r="E249" s="132" t="s">
        <v>2958</v>
      </c>
      <c r="F249" s="127" t="s">
        <v>2959</v>
      </c>
      <c r="G249" s="123" t="s">
        <v>2847</v>
      </c>
      <c r="H249" s="123" t="s">
        <v>2960</v>
      </c>
      <c r="I249" s="125" t="s">
        <v>27</v>
      </c>
      <c r="J249" s="125" t="s">
        <v>803</v>
      </c>
      <c r="K249" s="125" t="s">
        <v>21</v>
      </c>
      <c r="L249" s="126">
        <v>42652</v>
      </c>
      <c r="M249" s="126" t="str">
        <f ca="1" t="shared" si="12"/>
        <v>9年3个月</v>
      </c>
      <c r="N249" s="183" t="s">
        <v>2961</v>
      </c>
      <c r="O249" s="125" t="s">
        <v>782</v>
      </c>
      <c r="P249" s="128">
        <v>34550</v>
      </c>
      <c r="Q249" s="125">
        <v>22</v>
      </c>
      <c r="R249" s="155" t="s">
        <v>1001</v>
      </c>
      <c r="S249" s="125" t="s">
        <v>785</v>
      </c>
      <c r="T249" s="125" t="s">
        <v>1002</v>
      </c>
      <c r="U249" s="125" t="s">
        <v>2962</v>
      </c>
      <c r="V249" s="125" t="s">
        <v>1411</v>
      </c>
      <c r="W249" s="125" t="s">
        <v>1005</v>
      </c>
      <c r="X249" s="125" t="s">
        <v>1006</v>
      </c>
      <c r="Y249" s="125" t="s">
        <v>1031</v>
      </c>
      <c r="Z249" s="125" t="s">
        <v>2386</v>
      </c>
      <c r="AA249" s="156">
        <v>42917</v>
      </c>
      <c r="AB249" s="177">
        <v>13261738580</v>
      </c>
      <c r="AC249" s="217" t="s">
        <v>2963</v>
      </c>
      <c r="AD249" s="178" t="s">
        <v>2964</v>
      </c>
      <c r="AE249" s="136" t="s">
        <v>2965</v>
      </c>
      <c r="AF249" s="157" t="s">
        <v>2966</v>
      </c>
      <c r="AG249" s="136" t="s">
        <v>1137</v>
      </c>
      <c r="AH249" s="157">
        <v>15860202931</v>
      </c>
      <c r="AI249" s="136" t="s">
        <v>1035</v>
      </c>
      <c r="AJ249" s="136" t="s">
        <v>24</v>
      </c>
      <c r="AK249" s="136">
        <v>0</v>
      </c>
      <c r="AL249" s="126"/>
      <c r="AM249" s="128"/>
      <c r="AN249" s="135"/>
      <c r="AO249" s="125"/>
      <c r="AP249" s="125"/>
      <c r="AQ249" s="123"/>
    </row>
    <row r="250" customHeight="1" spans="1:43">
      <c r="A250" s="122">
        <v>249</v>
      </c>
      <c r="B250" s="140">
        <v>42815</v>
      </c>
      <c r="C250" s="226" t="s">
        <v>1013</v>
      </c>
      <c r="D250" s="224" t="s">
        <v>2967</v>
      </c>
      <c r="E250" s="122"/>
      <c r="F250" s="212" t="s">
        <v>2968</v>
      </c>
      <c r="G250" s="227" t="s">
        <v>1772</v>
      </c>
      <c r="H250" s="227" t="s">
        <v>2960</v>
      </c>
      <c r="I250" s="226" t="s">
        <v>2969</v>
      </c>
      <c r="J250" s="226" t="s">
        <v>803</v>
      </c>
      <c r="K250" s="226" t="s">
        <v>21</v>
      </c>
      <c r="L250" s="228">
        <v>42723</v>
      </c>
      <c r="M250" s="226" t="str">
        <f ca="1" t="shared" si="12"/>
        <v>9年1个月</v>
      </c>
      <c r="N250" s="229" t="s">
        <v>2970</v>
      </c>
      <c r="O250" s="226" t="s">
        <v>782</v>
      </c>
      <c r="P250" s="228">
        <v>30977</v>
      </c>
      <c r="Q250" s="230">
        <v>32</v>
      </c>
      <c r="R250" s="231" t="s">
        <v>1001</v>
      </c>
      <c r="S250" s="226" t="s">
        <v>785</v>
      </c>
      <c r="T250" s="226" t="s">
        <v>1002</v>
      </c>
      <c r="U250" s="226" t="s">
        <v>2446</v>
      </c>
      <c r="V250" s="226" t="s">
        <v>2971</v>
      </c>
      <c r="W250" s="226" t="s">
        <v>1005</v>
      </c>
      <c r="X250" s="226" t="s">
        <v>1006</v>
      </c>
      <c r="Y250" s="226" t="s">
        <v>2759</v>
      </c>
      <c r="Z250" s="226" t="s">
        <v>2164</v>
      </c>
      <c r="AA250" s="232">
        <v>39264</v>
      </c>
      <c r="AB250" s="230">
        <v>18310102668</v>
      </c>
      <c r="AC250" s="212" t="s">
        <v>2972</v>
      </c>
      <c r="AD250" s="233" t="s">
        <v>2973</v>
      </c>
      <c r="AE250" s="233" t="s">
        <v>2974</v>
      </c>
      <c r="AF250" s="234" t="s">
        <v>2975</v>
      </c>
      <c r="AG250" s="233" t="s">
        <v>1046</v>
      </c>
      <c r="AH250" s="234">
        <v>15639116428</v>
      </c>
      <c r="AI250" s="233" t="s">
        <v>1604</v>
      </c>
      <c r="AJ250" s="233" t="s">
        <v>2976</v>
      </c>
      <c r="AK250" s="233" t="s">
        <v>2977</v>
      </c>
      <c r="AL250" s="228">
        <v>42723</v>
      </c>
      <c r="AM250" s="228">
        <f>EDATE(AL250,36)</f>
        <v>43818</v>
      </c>
      <c r="AN250" s="235">
        <f ca="1">ROUND(AM250-NOW(),0)</f>
        <v>-2234</v>
      </c>
      <c r="AO250" s="226"/>
      <c r="AP250" s="226"/>
      <c r="AQ250" s="227"/>
    </row>
    <row r="251" customHeight="1" spans="1:43">
      <c r="A251" s="122">
        <v>250</v>
      </c>
      <c r="B251" s="140">
        <v>42815</v>
      </c>
      <c r="C251" s="226" t="s">
        <v>1013</v>
      </c>
      <c r="D251" s="224" t="s">
        <v>2967</v>
      </c>
      <c r="E251" s="122"/>
      <c r="F251" s="212" t="s">
        <v>2978</v>
      </c>
      <c r="G251" s="227" t="s">
        <v>1772</v>
      </c>
      <c r="H251" s="227" t="s">
        <v>2979</v>
      </c>
      <c r="I251" s="226" t="s">
        <v>2211</v>
      </c>
      <c r="J251" s="226" t="s">
        <v>2980</v>
      </c>
      <c r="K251" s="226" t="s">
        <v>21</v>
      </c>
      <c r="L251" s="228">
        <v>42723</v>
      </c>
      <c r="M251" s="226" t="str">
        <f ca="1" t="shared" si="12"/>
        <v>9年1个月</v>
      </c>
      <c r="N251" s="229" t="s">
        <v>2981</v>
      </c>
      <c r="O251" s="226" t="s">
        <v>782</v>
      </c>
      <c r="P251" s="228">
        <v>31861</v>
      </c>
      <c r="Q251" s="230">
        <v>29</v>
      </c>
      <c r="R251" s="231" t="s">
        <v>1001</v>
      </c>
      <c r="S251" s="226" t="s">
        <v>785</v>
      </c>
      <c r="T251" s="226" t="s">
        <v>1002</v>
      </c>
      <c r="U251" s="226" t="s">
        <v>1191</v>
      </c>
      <c r="V251" s="226" t="s">
        <v>2982</v>
      </c>
      <c r="W251" s="226" t="s">
        <v>1005</v>
      </c>
      <c r="X251" s="226" t="s">
        <v>974</v>
      </c>
      <c r="Y251" s="226" t="s">
        <v>2983</v>
      </c>
      <c r="Z251" s="226" t="s">
        <v>824</v>
      </c>
      <c r="AA251" s="232">
        <v>41426</v>
      </c>
      <c r="AB251" s="230">
        <v>13811489477</v>
      </c>
      <c r="AC251" s="212" t="s">
        <v>2984</v>
      </c>
      <c r="AD251" s="233" t="s">
        <v>2985</v>
      </c>
      <c r="AE251" s="233" t="s">
        <v>2986</v>
      </c>
      <c r="AF251" s="234" t="s">
        <v>2987</v>
      </c>
      <c r="AG251" s="233" t="s">
        <v>1097</v>
      </c>
      <c r="AH251" s="234">
        <v>15611712550</v>
      </c>
      <c r="AI251" s="233" t="s">
        <v>1604</v>
      </c>
      <c r="AJ251" s="233" t="s">
        <v>2988</v>
      </c>
      <c r="AK251" s="233" t="s">
        <v>2989</v>
      </c>
      <c r="AL251" s="228">
        <v>42723</v>
      </c>
      <c r="AM251" s="228">
        <f>EDATE(AL251,36)</f>
        <v>43818</v>
      </c>
      <c r="AN251" s="235">
        <f ca="1">ROUND(AM251-NOW(),0)</f>
        <v>-2234</v>
      </c>
      <c r="AO251" s="226"/>
      <c r="AP251" s="226"/>
      <c r="AQ251" s="227"/>
    </row>
    <row r="252" customHeight="1" spans="1:43">
      <c r="A252" s="122">
        <v>251</v>
      </c>
      <c r="B252" s="126">
        <v>42816</v>
      </c>
      <c r="C252" s="237" t="s">
        <v>1026</v>
      </c>
      <c r="D252" s="238" t="s">
        <v>2043</v>
      </c>
      <c r="E252" s="132"/>
      <c r="F252" s="127" t="s">
        <v>2990</v>
      </c>
      <c r="G252" s="123" t="s">
        <v>480</v>
      </c>
      <c r="H252" s="123" t="s">
        <v>18</v>
      </c>
      <c r="I252" s="125" t="s">
        <v>27</v>
      </c>
      <c r="J252" s="125" t="s">
        <v>2980</v>
      </c>
      <c r="K252" s="125" t="s">
        <v>21</v>
      </c>
      <c r="L252" s="126">
        <v>42652</v>
      </c>
      <c r="M252" s="126" t="str">
        <f ca="1" t="shared" si="12"/>
        <v>9年3个月</v>
      </c>
      <c r="N252" s="183" t="s">
        <v>2991</v>
      </c>
      <c r="O252" s="125" t="s">
        <v>782</v>
      </c>
      <c r="P252" s="128">
        <v>35988</v>
      </c>
      <c r="Q252" s="125">
        <v>18</v>
      </c>
      <c r="R252" s="155" t="s">
        <v>1001</v>
      </c>
      <c r="S252" s="125" t="s">
        <v>785</v>
      </c>
      <c r="T252" s="125" t="s">
        <v>1002</v>
      </c>
      <c r="U252" s="125" t="s">
        <v>2479</v>
      </c>
      <c r="V252" s="125" t="s">
        <v>1109</v>
      </c>
      <c r="W252" s="125" t="s">
        <v>1005</v>
      </c>
      <c r="X252" s="125" t="s">
        <v>1006</v>
      </c>
      <c r="Y252" s="125" t="s">
        <v>2149</v>
      </c>
      <c r="Z252" s="125" t="s">
        <v>1131</v>
      </c>
      <c r="AA252" s="156">
        <v>44013</v>
      </c>
      <c r="AB252" s="177">
        <v>13429536677</v>
      </c>
      <c r="AC252" s="217" t="s">
        <v>2992</v>
      </c>
      <c r="AD252" s="178" t="s">
        <v>2993</v>
      </c>
      <c r="AE252" s="136" t="s">
        <v>2994</v>
      </c>
      <c r="AF252" s="157" t="s">
        <v>2995</v>
      </c>
      <c r="AG252" s="136" t="s">
        <v>1046</v>
      </c>
      <c r="AH252" s="157">
        <v>13357586688</v>
      </c>
      <c r="AI252" s="136" t="s">
        <v>1087</v>
      </c>
      <c r="AJ252" s="136">
        <v>0</v>
      </c>
      <c r="AK252" s="136">
        <v>0</v>
      </c>
      <c r="AL252" s="126"/>
      <c r="AM252" s="128"/>
      <c r="AN252" s="135"/>
      <c r="AO252" s="125"/>
      <c r="AP252" s="125"/>
      <c r="AQ252" s="123"/>
    </row>
    <row r="253" customHeight="1" spans="1:43">
      <c r="A253" s="122">
        <v>252</v>
      </c>
      <c r="B253" s="140">
        <v>42821</v>
      </c>
      <c r="C253" s="139" t="s">
        <v>1013</v>
      </c>
      <c r="D253" s="122" t="s">
        <v>2967</v>
      </c>
      <c r="E253" s="122" t="s">
        <v>2996</v>
      </c>
      <c r="F253" s="212" t="s">
        <v>2997</v>
      </c>
      <c r="G253" s="227" t="s">
        <v>1530</v>
      </c>
      <c r="H253" s="227" t="s">
        <v>2998</v>
      </c>
      <c r="I253" s="226" t="s">
        <v>2999</v>
      </c>
      <c r="J253" s="226" t="s">
        <v>3000</v>
      </c>
      <c r="K253" s="226" t="s">
        <v>227</v>
      </c>
      <c r="L253" s="228">
        <v>42795</v>
      </c>
      <c r="M253" s="226" t="str">
        <f ca="1" t="shared" si="12"/>
        <v>8年10个月</v>
      </c>
      <c r="N253" s="229" t="s">
        <v>3001</v>
      </c>
      <c r="O253" s="226" t="s">
        <v>782</v>
      </c>
      <c r="P253" s="228">
        <v>32071</v>
      </c>
      <c r="Q253" s="230">
        <v>29</v>
      </c>
      <c r="R253" s="231" t="s">
        <v>1001</v>
      </c>
      <c r="S253" s="226" t="s">
        <v>785</v>
      </c>
      <c r="T253" s="226" t="s">
        <v>1002</v>
      </c>
      <c r="U253" s="226" t="s">
        <v>1159</v>
      </c>
      <c r="V253" s="226" t="s">
        <v>3002</v>
      </c>
      <c r="W253" s="226" t="s">
        <v>1005</v>
      </c>
      <c r="X253" s="226" t="s">
        <v>1006</v>
      </c>
      <c r="Y253" s="226" t="s">
        <v>3003</v>
      </c>
      <c r="Z253" s="226" t="s">
        <v>2081</v>
      </c>
      <c r="AA253" s="232">
        <v>39965</v>
      </c>
      <c r="AB253" s="230">
        <v>13588009932</v>
      </c>
      <c r="AC253" s="212" t="s">
        <v>3004</v>
      </c>
      <c r="AD253" s="233" t="s">
        <v>3005</v>
      </c>
      <c r="AE253" s="233" t="s">
        <v>3006</v>
      </c>
      <c r="AF253" s="234" t="s">
        <v>3007</v>
      </c>
      <c r="AG253" s="233" t="s">
        <v>1137</v>
      </c>
      <c r="AH253" s="234">
        <v>13283991617</v>
      </c>
      <c r="AI253" s="233" t="s">
        <v>1060</v>
      </c>
      <c r="AJ253" s="233" t="s">
        <v>1866</v>
      </c>
      <c r="AK253" s="233" t="s">
        <v>3008</v>
      </c>
      <c r="AL253" s="228">
        <v>42793</v>
      </c>
      <c r="AM253" s="228">
        <f>EDATE(AL253,36)</f>
        <v>43888</v>
      </c>
      <c r="AN253" s="235"/>
      <c r="AO253" s="226"/>
      <c r="AP253" s="226"/>
      <c r="AQ253" s="227"/>
    </row>
    <row r="254" customHeight="1" spans="1:43">
      <c r="A254" s="122">
        <v>253</v>
      </c>
      <c r="B254" s="140">
        <v>42824</v>
      </c>
      <c r="C254" s="139" t="s">
        <v>1013</v>
      </c>
      <c r="D254" s="122" t="s">
        <v>3009</v>
      </c>
      <c r="E254" s="122"/>
      <c r="F254" s="212" t="s">
        <v>3010</v>
      </c>
      <c r="G254" s="227" t="s">
        <v>1530</v>
      </c>
      <c r="H254" s="227" t="s">
        <v>3011</v>
      </c>
      <c r="I254" s="226" t="s">
        <v>3012</v>
      </c>
      <c r="J254" s="226" t="s">
        <v>3013</v>
      </c>
      <c r="K254" s="226" t="s">
        <v>21</v>
      </c>
      <c r="L254" s="228">
        <v>41974</v>
      </c>
      <c r="M254" s="226" t="str">
        <f ca="1" t="shared" si="12"/>
        <v>11年1个月</v>
      </c>
      <c r="N254" s="229" t="s">
        <v>3014</v>
      </c>
      <c r="O254" s="226" t="str">
        <f>IF(N254="","",IF(AND(LEN(N254)&lt;&gt;15,LEN(N254)&lt;&gt;18),"错误",IF(MOD(IF(LEN(N254)=15,MID(N254,15,1),MID(N254,17,1)),2)=1,"男","女")))</f>
        <v>男</v>
      </c>
      <c r="P254" s="228">
        <f>IF(N254="","",IF(AND(LEN(N254)&lt;&gt;15,LEN(N254)&lt;&gt;18),"错误",IF(LEN(N254)=15,DATE(MID(N254,7,2),MID(N254,9,2),MID(N254,11,2)),DATE(MID(N254,7,4),MID(N254,11,2),MID(N254,13,2)))))</f>
        <v>30228</v>
      </c>
      <c r="Q254" s="230">
        <f ca="1">IF(N254="","",IF(AND(LEN(N254)&lt;&gt;15,LEN(N254)&lt;&gt;18),"错误",ROUNDDOWN((NOW()-P254)/365,0)))</f>
        <v>43</v>
      </c>
      <c r="R254" s="231" t="s">
        <v>1001</v>
      </c>
      <c r="S254" s="226" t="s">
        <v>879</v>
      </c>
      <c r="T254" s="226" t="s">
        <v>1051</v>
      </c>
      <c r="U254" s="226" t="s">
        <v>3015</v>
      </c>
      <c r="V254" s="226" t="s">
        <v>3016</v>
      </c>
      <c r="W254" s="226" t="s">
        <v>832</v>
      </c>
      <c r="X254" s="226" t="s">
        <v>1006</v>
      </c>
      <c r="Y254" s="226" t="s">
        <v>2114</v>
      </c>
      <c r="Z254" s="226" t="s">
        <v>2245</v>
      </c>
      <c r="AA254" s="232"/>
      <c r="AB254" s="230">
        <v>13636671177</v>
      </c>
      <c r="AC254" s="212" t="s">
        <v>3017</v>
      </c>
      <c r="AD254" s="233" t="s">
        <v>3018</v>
      </c>
      <c r="AE254" s="233" t="s">
        <v>3019</v>
      </c>
      <c r="AF254" s="234" t="s">
        <v>3020</v>
      </c>
      <c r="AG254" s="233" t="s">
        <v>1059</v>
      </c>
      <c r="AH254" s="234">
        <v>18770300151</v>
      </c>
      <c r="AI254" s="233" t="s">
        <v>1060</v>
      </c>
      <c r="AJ254" s="233"/>
      <c r="AK254" s="233"/>
      <c r="AL254" s="228">
        <v>42705</v>
      </c>
      <c r="AM254" s="228">
        <v>43800</v>
      </c>
      <c r="AN254" s="235">
        <f ca="1">ROUND(AM254-NOW(),0)</f>
        <v>-2252</v>
      </c>
      <c r="AO254" s="226" t="s">
        <v>3021</v>
      </c>
      <c r="AP254" s="226" t="s">
        <v>3022</v>
      </c>
      <c r="AQ254" s="227" t="s">
        <v>23</v>
      </c>
    </row>
    <row r="255" customHeight="1" spans="1:43">
      <c r="A255" s="122">
        <v>254</v>
      </c>
      <c r="B255" s="140">
        <v>42824</v>
      </c>
      <c r="C255" s="139" t="s">
        <v>1013</v>
      </c>
      <c r="D255" s="122" t="s">
        <v>3009</v>
      </c>
      <c r="E255" s="122"/>
      <c r="F255" s="212" t="s">
        <v>3023</v>
      </c>
      <c r="G255" s="227" t="s">
        <v>1530</v>
      </c>
      <c r="H255" s="227" t="s">
        <v>3011</v>
      </c>
      <c r="I255" s="226" t="s">
        <v>1018</v>
      </c>
      <c r="J255" s="226" t="s">
        <v>3000</v>
      </c>
      <c r="K255" s="226" t="s">
        <v>365</v>
      </c>
      <c r="L255" s="228">
        <v>42583</v>
      </c>
      <c r="M255" s="226" t="str">
        <f ca="1" t="shared" si="12"/>
        <v>9年5个月</v>
      </c>
      <c r="N255" s="229" t="s">
        <v>3024</v>
      </c>
      <c r="O255" s="226" t="s">
        <v>782</v>
      </c>
      <c r="P255" s="228">
        <v>29831</v>
      </c>
      <c r="Q255" s="230">
        <v>35</v>
      </c>
      <c r="R255" s="231" t="s">
        <v>1001</v>
      </c>
      <c r="S255" s="226" t="s">
        <v>879</v>
      </c>
      <c r="T255" s="226" t="s">
        <v>1292</v>
      </c>
      <c r="U255" s="226" t="s">
        <v>1132</v>
      </c>
      <c r="V255" s="226" t="s">
        <v>3025</v>
      </c>
      <c r="W255" s="226" t="s">
        <v>1005</v>
      </c>
      <c r="X255" s="226" t="s">
        <v>789</v>
      </c>
      <c r="Y255" s="226" t="s">
        <v>3026</v>
      </c>
      <c r="Z255" s="226" t="s">
        <v>3027</v>
      </c>
      <c r="AA255" s="232">
        <v>37773</v>
      </c>
      <c r="AB255" s="230">
        <v>18971051206</v>
      </c>
      <c r="AC255" s="212" t="s">
        <v>3028</v>
      </c>
      <c r="AD255" s="233" t="s">
        <v>3029</v>
      </c>
      <c r="AE255" s="233" t="s">
        <v>3025</v>
      </c>
      <c r="AF255" s="234" t="s">
        <v>3030</v>
      </c>
      <c r="AG255" s="233" t="s">
        <v>1011</v>
      </c>
      <c r="AH255" s="234">
        <v>18971057565</v>
      </c>
      <c r="AI255" s="233" t="s">
        <v>1035</v>
      </c>
      <c r="AJ255" s="233" t="s">
        <v>250</v>
      </c>
      <c r="AK255" s="233" t="s">
        <v>3031</v>
      </c>
      <c r="AL255" s="228">
        <v>42583</v>
      </c>
      <c r="AM255" s="228">
        <v>43678</v>
      </c>
      <c r="AN255" s="235">
        <f ca="1">ROUND(AM255-NOW(),0)</f>
        <v>-2374</v>
      </c>
      <c r="AO255" s="226"/>
      <c r="AP255" s="226"/>
      <c r="AQ255" s="227" t="s">
        <v>23</v>
      </c>
    </row>
    <row r="256" customHeight="1" spans="1:43">
      <c r="A256" s="122">
        <v>255</v>
      </c>
      <c r="B256" s="140">
        <v>42824</v>
      </c>
      <c r="C256" s="139" t="s">
        <v>1013</v>
      </c>
      <c r="D256" s="122" t="s">
        <v>2967</v>
      </c>
      <c r="E256" s="122"/>
      <c r="F256" s="141" t="s">
        <v>3032</v>
      </c>
      <c r="G256" s="141" t="s">
        <v>1530</v>
      </c>
      <c r="H256" s="137" t="s">
        <v>2998</v>
      </c>
      <c r="I256" s="139" t="s">
        <v>2999</v>
      </c>
      <c r="J256" s="139" t="s">
        <v>2980</v>
      </c>
      <c r="K256" s="139" t="s">
        <v>21</v>
      </c>
      <c r="L256" s="142">
        <v>42738</v>
      </c>
      <c r="M256" s="139" t="str">
        <f ca="1" t="shared" si="12"/>
        <v>9年0个月</v>
      </c>
      <c r="N256" s="181" t="s">
        <v>3033</v>
      </c>
      <c r="O256" s="139" t="s">
        <v>782</v>
      </c>
      <c r="P256" s="142">
        <v>32039</v>
      </c>
      <c r="Q256" s="143">
        <v>29</v>
      </c>
      <c r="R256" s="151" t="s">
        <v>1001</v>
      </c>
      <c r="S256" s="139" t="s">
        <v>879</v>
      </c>
      <c r="T256" s="139" t="s">
        <v>1002</v>
      </c>
      <c r="U256" s="139" t="s">
        <v>21</v>
      </c>
      <c r="V256" s="139" t="s">
        <v>3034</v>
      </c>
      <c r="W256" s="139" t="s">
        <v>1005</v>
      </c>
      <c r="X256" s="139" t="s">
        <v>1006</v>
      </c>
      <c r="Y256" s="139" t="s">
        <v>2735</v>
      </c>
      <c r="Z256" s="139" t="s">
        <v>824</v>
      </c>
      <c r="AA256" s="222">
        <v>40360</v>
      </c>
      <c r="AB256" s="251">
        <v>13488757544</v>
      </c>
      <c r="AC256" s="252" t="s">
        <v>3035</v>
      </c>
      <c r="AD256" s="149" t="s">
        <v>3036</v>
      </c>
      <c r="AE256" s="149" t="s">
        <v>3037</v>
      </c>
      <c r="AF256" s="153" t="s">
        <v>582</v>
      </c>
      <c r="AG256" s="149" t="s">
        <v>1097</v>
      </c>
      <c r="AH256" s="153">
        <v>13671295849</v>
      </c>
      <c r="AI256" s="149" t="s">
        <v>1060</v>
      </c>
      <c r="AJ256" s="149" t="s">
        <v>3038</v>
      </c>
      <c r="AK256" s="149" t="s">
        <v>3039</v>
      </c>
      <c r="AL256" s="142">
        <v>42738</v>
      </c>
      <c r="AM256" s="142">
        <f>EDATE(AL256,36)</f>
        <v>43833</v>
      </c>
      <c r="AN256" s="148">
        <f ca="1">ROUND(AM256-NOW(),0)</f>
        <v>-2219</v>
      </c>
      <c r="AO256" s="139"/>
      <c r="AP256" s="139"/>
      <c r="AQ256" s="137"/>
    </row>
    <row r="257" customHeight="1" spans="1:43">
      <c r="A257" s="122">
        <v>256</v>
      </c>
      <c r="B257" s="140">
        <v>42835</v>
      </c>
      <c r="C257" s="139" t="s">
        <v>1026</v>
      </c>
      <c r="D257" s="122" t="s">
        <v>1115</v>
      </c>
      <c r="E257" s="122"/>
      <c r="F257" s="141" t="s">
        <v>3040</v>
      </c>
      <c r="G257" s="141" t="s">
        <v>1224</v>
      </c>
      <c r="H257" s="137" t="s">
        <v>3041</v>
      </c>
      <c r="I257" s="139" t="s">
        <v>1226</v>
      </c>
      <c r="J257" s="139" t="s">
        <v>3000</v>
      </c>
      <c r="K257" s="139" t="s">
        <v>227</v>
      </c>
      <c r="L257" s="142">
        <v>42552</v>
      </c>
      <c r="M257" s="139" t="str">
        <f ca="1" t="shared" ref="M257:M263" si="13">IF(L257="","",DATEDIF(L257,NOW(),"Y")&amp;"年"&amp;MOD(DATEDIF(L257,NOW(),"M"),12)&amp;"个月")</f>
        <v>9年6个月</v>
      </c>
      <c r="N257" s="181" t="s">
        <v>3042</v>
      </c>
      <c r="O257" s="139" t="s">
        <v>782</v>
      </c>
      <c r="P257" s="142">
        <v>34364</v>
      </c>
      <c r="Q257" s="143">
        <f ca="1" t="shared" ref="Q257:Q268" si="14">IF(N257="","",IF(AND(LEN(N257)&lt;&gt;15,LEN(N257)&lt;&gt;18),"错误",ROUNDDOWN((NOW()-P257)/365,0)))</f>
        <v>32</v>
      </c>
      <c r="R257" s="151" t="s">
        <v>1001</v>
      </c>
      <c r="S257" s="139" t="s">
        <v>785</v>
      </c>
      <c r="T257" s="139" t="s">
        <v>1002</v>
      </c>
      <c r="U257" s="139" t="s">
        <v>3043</v>
      </c>
      <c r="V257" s="139" t="s">
        <v>3044</v>
      </c>
      <c r="W257" s="139" t="s">
        <v>1005</v>
      </c>
      <c r="X257" s="139" t="s">
        <v>1006</v>
      </c>
      <c r="Y257" s="139" t="s">
        <v>3044</v>
      </c>
      <c r="Z257" s="139" t="s">
        <v>1232</v>
      </c>
      <c r="AA257" s="222"/>
      <c r="AB257" s="251">
        <v>15726818134</v>
      </c>
      <c r="AC257" s="252" t="s">
        <v>3045</v>
      </c>
      <c r="AD257" s="149" t="s">
        <v>3046</v>
      </c>
      <c r="AE257" s="149"/>
      <c r="AF257" s="153" t="s">
        <v>3047</v>
      </c>
      <c r="AG257" s="149" t="s">
        <v>1046</v>
      </c>
      <c r="AH257" s="153">
        <v>13506506098</v>
      </c>
      <c r="AI257" s="149" t="s">
        <v>1060</v>
      </c>
      <c r="AJ257" s="149"/>
      <c r="AK257" s="149"/>
      <c r="AL257" s="142">
        <v>42552</v>
      </c>
      <c r="AM257" s="142"/>
      <c r="AN257" s="148"/>
      <c r="AO257" s="139"/>
      <c r="AP257" s="139" t="s">
        <v>3048</v>
      </c>
      <c r="AQ257" s="137" t="s">
        <v>23</v>
      </c>
    </row>
    <row r="258" s="95" customFormat="1" customHeight="1" spans="1:43">
      <c r="A258" s="192">
        <v>257</v>
      </c>
      <c r="B258" s="193">
        <v>42839</v>
      </c>
      <c r="C258" s="194" t="s">
        <v>1026</v>
      </c>
      <c r="D258" s="192" t="s">
        <v>1115</v>
      </c>
      <c r="E258" s="192" t="s">
        <v>3049</v>
      </c>
      <c r="F258" s="196" t="s">
        <v>3050</v>
      </c>
      <c r="G258" s="196" t="s">
        <v>1224</v>
      </c>
      <c r="H258" s="195" t="s">
        <v>3051</v>
      </c>
      <c r="I258" s="194" t="s">
        <v>48</v>
      </c>
      <c r="J258" s="194" t="s">
        <v>2980</v>
      </c>
      <c r="K258" s="194" t="s">
        <v>21</v>
      </c>
      <c r="L258" s="198">
        <v>42187</v>
      </c>
      <c r="M258" s="194" t="str">
        <f ca="1" t="shared" si="13"/>
        <v>10年6个月</v>
      </c>
      <c r="N258" s="197" t="s">
        <v>3052</v>
      </c>
      <c r="O258" s="194" t="s">
        <v>782</v>
      </c>
      <c r="P258" s="198">
        <v>31706</v>
      </c>
      <c r="Q258" s="253">
        <f ca="1" t="shared" si="14"/>
        <v>39</v>
      </c>
      <c r="R258" s="199" t="s">
        <v>1001</v>
      </c>
      <c r="S258" s="194" t="s">
        <v>879</v>
      </c>
      <c r="T258" s="194" t="s">
        <v>1002</v>
      </c>
      <c r="U258" s="194" t="s">
        <v>3053</v>
      </c>
      <c r="V258" s="194" t="s">
        <v>3054</v>
      </c>
      <c r="W258" s="194" t="s">
        <v>1005</v>
      </c>
      <c r="X258" s="194" t="s">
        <v>974</v>
      </c>
      <c r="Y258" s="194" t="s">
        <v>3055</v>
      </c>
      <c r="Z258" s="194" t="s">
        <v>824</v>
      </c>
      <c r="AA258" s="254">
        <v>40725</v>
      </c>
      <c r="AB258" s="255">
        <v>13811629589</v>
      </c>
      <c r="AC258" s="256" t="s">
        <v>3056</v>
      </c>
      <c r="AD258" s="204" t="s">
        <v>3057</v>
      </c>
      <c r="AE258" s="204" t="s">
        <v>3058</v>
      </c>
      <c r="AF258" s="205" t="s">
        <v>3059</v>
      </c>
      <c r="AG258" s="204" t="s">
        <v>1528</v>
      </c>
      <c r="AH258" s="205">
        <v>13699252256</v>
      </c>
      <c r="AI258" s="204" t="s">
        <v>1035</v>
      </c>
      <c r="AJ258" s="204" t="s">
        <v>51</v>
      </c>
      <c r="AK258" s="204"/>
      <c r="AL258" s="198">
        <f>L258</f>
        <v>42187</v>
      </c>
      <c r="AM258" s="198">
        <f>EDATE(AL258,36)-1</f>
        <v>43282</v>
      </c>
      <c r="AN258" s="206">
        <f ca="1">ROUND(AM258-NOW(),0)</f>
        <v>-2770</v>
      </c>
      <c r="AO258" s="194"/>
      <c r="AP258" s="194"/>
      <c r="AQ258" s="195" t="s">
        <v>23</v>
      </c>
    </row>
    <row r="259" customHeight="1" spans="1:43">
      <c r="A259" s="122">
        <v>258</v>
      </c>
      <c r="B259" s="140">
        <v>42843</v>
      </c>
      <c r="C259" s="139" t="s">
        <v>1026</v>
      </c>
      <c r="D259" s="122" t="s">
        <v>3060</v>
      </c>
      <c r="E259" s="122"/>
      <c r="F259" s="141" t="s">
        <v>3061</v>
      </c>
      <c r="G259" s="141" t="s">
        <v>1530</v>
      </c>
      <c r="H259" s="137" t="s">
        <v>2998</v>
      </c>
      <c r="I259" s="139" t="s">
        <v>115</v>
      </c>
      <c r="J259" s="139" t="s">
        <v>3000</v>
      </c>
      <c r="K259" s="139" t="s">
        <v>227</v>
      </c>
      <c r="L259" s="142">
        <v>42366</v>
      </c>
      <c r="M259" s="139" t="str">
        <f ca="1" t="shared" si="13"/>
        <v>10年1个月</v>
      </c>
      <c r="N259" s="181" t="s">
        <v>3062</v>
      </c>
      <c r="O259" s="139" t="s">
        <v>794</v>
      </c>
      <c r="P259" s="142">
        <v>32372</v>
      </c>
      <c r="Q259" s="143">
        <f ca="1" t="shared" si="14"/>
        <v>37</v>
      </c>
      <c r="R259" s="151" t="s">
        <v>1001</v>
      </c>
      <c r="S259" s="139" t="s">
        <v>879</v>
      </c>
      <c r="T259" s="139" t="s">
        <v>1002</v>
      </c>
      <c r="U259" s="139" t="s">
        <v>1276</v>
      </c>
      <c r="V259" s="139" t="s">
        <v>2233</v>
      </c>
      <c r="W259" s="139" t="s">
        <v>1005</v>
      </c>
      <c r="X259" s="139" t="s">
        <v>974</v>
      </c>
      <c r="Y259" s="139" t="s">
        <v>1698</v>
      </c>
      <c r="Z259" s="139" t="s">
        <v>1110</v>
      </c>
      <c r="AA259" s="222"/>
      <c r="AB259" s="251">
        <v>15167151156</v>
      </c>
      <c r="AC259" s="252" t="s">
        <v>3063</v>
      </c>
      <c r="AD259" s="149" t="s">
        <v>3064</v>
      </c>
      <c r="AE259" s="149" t="s">
        <v>3065</v>
      </c>
      <c r="AF259" s="153" t="s">
        <v>3066</v>
      </c>
      <c r="AG259" s="149" t="s">
        <v>1167</v>
      </c>
      <c r="AH259" s="153">
        <v>15558022965</v>
      </c>
      <c r="AI259" s="149" t="s">
        <v>1060</v>
      </c>
      <c r="AJ259" s="149"/>
      <c r="AK259" s="149"/>
      <c r="AL259" s="142">
        <v>42366</v>
      </c>
      <c r="AM259" s="142">
        <v>43096</v>
      </c>
      <c r="AN259" s="148">
        <f ca="1">ROUND(AM259-NOW(),0)</f>
        <v>-2956</v>
      </c>
      <c r="AO259" s="139"/>
      <c r="AP259" s="139"/>
      <c r="AQ259" s="137"/>
    </row>
    <row r="260" customHeight="1" spans="1:43">
      <c r="A260" s="122">
        <v>259</v>
      </c>
      <c r="B260" s="126">
        <v>42826</v>
      </c>
      <c r="C260" s="237" t="s">
        <v>1026</v>
      </c>
      <c r="D260" s="238" t="s">
        <v>2043</v>
      </c>
      <c r="E260" s="132"/>
      <c r="F260" s="127" t="s">
        <v>3067</v>
      </c>
      <c r="G260" s="123" t="s">
        <v>1772</v>
      </c>
      <c r="H260" s="123" t="s">
        <v>3068</v>
      </c>
      <c r="I260" s="125" t="s">
        <v>27</v>
      </c>
      <c r="J260" s="125" t="s">
        <v>2980</v>
      </c>
      <c r="K260" s="125" t="s">
        <v>21</v>
      </c>
      <c r="L260" s="126">
        <v>42696</v>
      </c>
      <c r="M260" s="126" t="str">
        <f ca="1" t="shared" si="13"/>
        <v>9年2个月</v>
      </c>
      <c r="N260" s="183" t="s">
        <v>3069</v>
      </c>
      <c r="O260" s="125" t="s">
        <v>782</v>
      </c>
      <c r="P260" s="128">
        <v>34818</v>
      </c>
      <c r="Q260" s="125">
        <f ca="1" t="shared" si="14"/>
        <v>30</v>
      </c>
      <c r="R260" s="155" t="s">
        <v>1001</v>
      </c>
      <c r="S260" s="125" t="s">
        <v>785</v>
      </c>
      <c r="T260" s="125" t="s">
        <v>1002</v>
      </c>
      <c r="U260" s="125" t="s">
        <v>3070</v>
      </c>
      <c r="V260" s="125" t="s">
        <v>3071</v>
      </c>
      <c r="W260" s="125" t="s">
        <v>1005</v>
      </c>
      <c r="X260" s="125" t="s">
        <v>1006</v>
      </c>
      <c r="Y260" s="125" t="s">
        <v>1109</v>
      </c>
      <c r="Z260" s="125" t="s">
        <v>824</v>
      </c>
      <c r="AA260" s="156">
        <v>42887</v>
      </c>
      <c r="AB260" s="177">
        <v>18811728432</v>
      </c>
      <c r="AC260" s="217" t="s">
        <v>3072</v>
      </c>
      <c r="AD260" s="178" t="s">
        <v>3073</v>
      </c>
      <c r="AE260" s="136" t="s">
        <v>3071</v>
      </c>
      <c r="AF260" s="157" t="s">
        <v>3074</v>
      </c>
      <c r="AG260" s="136" t="s">
        <v>1046</v>
      </c>
      <c r="AH260" s="157">
        <v>18955351717</v>
      </c>
      <c r="AI260" s="136" t="s">
        <v>1035</v>
      </c>
      <c r="AJ260" s="136" t="s">
        <v>3075</v>
      </c>
      <c r="AK260" s="136">
        <v>0</v>
      </c>
      <c r="AL260" s="126"/>
      <c r="AM260" s="128"/>
      <c r="AN260" s="135"/>
      <c r="AO260" s="125"/>
      <c r="AP260" s="125"/>
      <c r="AQ260" s="123"/>
    </row>
    <row r="261" customHeight="1" spans="1:43">
      <c r="A261" s="122">
        <v>260</v>
      </c>
      <c r="B261" s="140">
        <v>42826</v>
      </c>
      <c r="C261" s="139" t="s">
        <v>1026</v>
      </c>
      <c r="D261" s="122"/>
      <c r="E261" s="122"/>
      <c r="F261" s="141" t="s">
        <v>3076</v>
      </c>
      <c r="G261" s="141" t="s">
        <v>36</v>
      </c>
      <c r="H261" s="137" t="s">
        <v>86</v>
      </c>
      <c r="I261" s="139" t="s">
        <v>689</v>
      </c>
      <c r="J261" s="139" t="s">
        <v>2980</v>
      </c>
      <c r="K261" s="139" t="s">
        <v>21</v>
      </c>
      <c r="L261" s="142">
        <v>42826</v>
      </c>
      <c r="M261" s="139" t="str">
        <f ca="1" t="shared" si="13"/>
        <v>8年9个月</v>
      </c>
      <c r="N261" s="181" t="s">
        <v>3077</v>
      </c>
      <c r="O261" s="139" t="s">
        <v>782</v>
      </c>
      <c r="P261" s="142">
        <v>30710</v>
      </c>
      <c r="Q261" s="143">
        <f ca="1" t="shared" si="14"/>
        <v>42</v>
      </c>
      <c r="R261" s="151" t="s">
        <v>1001</v>
      </c>
      <c r="S261" s="139" t="s">
        <v>879</v>
      </c>
      <c r="T261" s="139" t="s">
        <v>1002</v>
      </c>
      <c r="U261" s="139" t="s">
        <v>3078</v>
      </c>
      <c r="V261" s="139" t="s">
        <v>3079</v>
      </c>
      <c r="W261" s="139" t="s">
        <v>1005</v>
      </c>
      <c r="X261" s="139" t="s">
        <v>974</v>
      </c>
      <c r="Y261" s="139" t="s">
        <v>2630</v>
      </c>
      <c r="Z261" s="139" t="s">
        <v>3080</v>
      </c>
      <c r="AA261" s="222">
        <v>41456</v>
      </c>
      <c r="AB261" s="251">
        <v>18910489937</v>
      </c>
      <c r="AC261" s="252" t="s">
        <v>3081</v>
      </c>
      <c r="AD261" s="149" t="s">
        <v>3082</v>
      </c>
      <c r="AE261" s="149" t="s">
        <v>3083</v>
      </c>
      <c r="AF261" s="153" t="s">
        <v>3084</v>
      </c>
      <c r="AG261" s="149" t="s">
        <v>1059</v>
      </c>
      <c r="AH261" s="153">
        <v>18910499937</v>
      </c>
      <c r="AI261" s="149" t="s">
        <v>1604</v>
      </c>
      <c r="AJ261" s="149" t="s">
        <v>3085</v>
      </c>
      <c r="AK261" s="149" t="s">
        <v>3086</v>
      </c>
      <c r="AL261" s="142">
        <v>42826</v>
      </c>
      <c r="AM261" s="142">
        <f>EDATE(AL261,36)</f>
        <v>43922</v>
      </c>
      <c r="AN261" s="148"/>
      <c r="AO261" s="139"/>
      <c r="AP261" s="139"/>
      <c r="AQ261" s="137"/>
    </row>
    <row r="262" customHeight="1" spans="1:43">
      <c r="A262" s="122">
        <v>261</v>
      </c>
      <c r="B262" s="140">
        <v>42846</v>
      </c>
      <c r="C262" s="139" t="s">
        <v>1026</v>
      </c>
      <c r="D262" s="122" t="s">
        <v>3009</v>
      </c>
      <c r="E262" s="122"/>
      <c r="F262" s="141" t="s">
        <v>3087</v>
      </c>
      <c r="G262" s="141" t="s">
        <v>61</v>
      </c>
      <c r="H262" s="137" t="s">
        <v>101</v>
      </c>
      <c r="I262" s="139" t="s">
        <v>656</v>
      </c>
      <c r="J262" s="139" t="s">
        <v>2980</v>
      </c>
      <c r="K262" s="139" t="s">
        <v>21</v>
      </c>
      <c r="L262" s="142">
        <v>42465</v>
      </c>
      <c r="M262" s="139" t="str">
        <f ca="1" t="shared" si="13"/>
        <v>9年9个月</v>
      </c>
      <c r="N262" s="181" t="s">
        <v>3088</v>
      </c>
      <c r="O262" s="139" t="s">
        <v>794</v>
      </c>
      <c r="P262" s="142">
        <v>32514</v>
      </c>
      <c r="Q262" s="143">
        <f ca="1" t="shared" si="14"/>
        <v>37</v>
      </c>
      <c r="R262" s="151" t="s">
        <v>3089</v>
      </c>
      <c r="S262" s="139" t="s">
        <v>879</v>
      </c>
      <c r="T262" s="139" t="s">
        <v>1002</v>
      </c>
      <c r="U262" s="139" t="s">
        <v>1609</v>
      </c>
      <c r="V262" s="139" t="s">
        <v>3090</v>
      </c>
      <c r="W262" s="139" t="s">
        <v>1005</v>
      </c>
      <c r="X262" s="139" t="s">
        <v>1006</v>
      </c>
      <c r="Y262" s="139" t="s">
        <v>3091</v>
      </c>
      <c r="Z262" s="139" t="s">
        <v>3092</v>
      </c>
      <c r="AA262" s="222">
        <v>41061</v>
      </c>
      <c r="AB262" s="251">
        <v>15801123758</v>
      </c>
      <c r="AC262" s="252" t="s">
        <v>3093</v>
      </c>
      <c r="AD262" s="149" t="s">
        <v>3094</v>
      </c>
      <c r="AE262" s="149" t="s">
        <v>3095</v>
      </c>
      <c r="AF262" s="153" t="s">
        <v>3096</v>
      </c>
      <c r="AG262" s="149" t="s">
        <v>1167</v>
      </c>
      <c r="AH262" s="153">
        <v>15810562984</v>
      </c>
      <c r="AI262" s="149" t="s">
        <v>1060</v>
      </c>
      <c r="AJ262" s="149"/>
      <c r="AK262" s="149"/>
      <c r="AL262" s="142">
        <f>L262</f>
        <v>42465</v>
      </c>
      <c r="AM262" s="142">
        <f>EDATE(AL262,36)-1</f>
        <v>43559</v>
      </c>
      <c r="AN262" s="148">
        <f ca="1">ROUND(AM262-NOW(),0)</f>
        <v>-2493</v>
      </c>
      <c r="AO262" s="139"/>
      <c r="AP262" s="139"/>
      <c r="AQ262" s="137" t="s">
        <v>23</v>
      </c>
    </row>
    <row r="263" customHeight="1" spans="1:43">
      <c r="A263" s="122">
        <v>262</v>
      </c>
      <c r="B263" s="126">
        <v>42846</v>
      </c>
      <c r="C263" s="125" t="s">
        <v>1013</v>
      </c>
      <c r="D263" s="132"/>
      <c r="E263" s="132"/>
      <c r="F263" s="127" t="s">
        <v>3097</v>
      </c>
      <c r="G263" s="123" t="s">
        <v>18</v>
      </c>
      <c r="H263" s="123" t="s">
        <v>18</v>
      </c>
      <c r="I263" s="125" t="s">
        <v>27</v>
      </c>
      <c r="J263" s="125" t="s">
        <v>2980</v>
      </c>
      <c r="K263" s="125" t="s">
        <v>21</v>
      </c>
      <c r="L263" s="126">
        <v>42817</v>
      </c>
      <c r="M263" s="126" t="str">
        <f ca="1" t="shared" si="13"/>
        <v>8年10个月</v>
      </c>
      <c r="N263" s="183" t="s">
        <v>3098</v>
      </c>
      <c r="O263" s="125" t="s">
        <v>782</v>
      </c>
      <c r="P263" s="128">
        <v>34745</v>
      </c>
      <c r="Q263" s="125">
        <f ca="1" t="shared" si="14"/>
        <v>30</v>
      </c>
      <c r="R263" s="155" t="s">
        <v>784</v>
      </c>
      <c r="S263" s="125" t="s">
        <v>785</v>
      </c>
      <c r="T263" s="125" t="s">
        <v>1002</v>
      </c>
      <c r="U263" s="125" t="s">
        <v>3099</v>
      </c>
      <c r="V263" s="125" t="s">
        <v>3100</v>
      </c>
      <c r="W263" s="125" t="s">
        <v>1005</v>
      </c>
      <c r="X263" s="125" t="s">
        <v>1006</v>
      </c>
      <c r="Y263" s="125" t="s">
        <v>1874</v>
      </c>
      <c r="Z263" s="125" t="s">
        <v>1065</v>
      </c>
      <c r="AA263" s="156">
        <v>42917</v>
      </c>
      <c r="AB263" s="177">
        <v>15216677522</v>
      </c>
      <c r="AC263" s="217" t="s">
        <v>3101</v>
      </c>
      <c r="AD263" s="178" t="s">
        <v>3102</v>
      </c>
      <c r="AE263" s="136" t="s">
        <v>3103</v>
      </c>
      <c r="AF263" s="157" t="s">
        <v>3104</v>
      </c>
      <c r="AG263" s="136" t="s">
        <v>1137</v>
      </c>
      <c r="AH263" s="157">
        <v>13004609226</v>
      </c>
      <c r="AI263" s="136" t="s">
        <v>1673</v>
      </c>
      <c r="AJ263" s="136">
        <v>0</v>
      </c>
      <c r="AK263" s="136" t="s">
        <v>3105</v>
      </c>
      <c r="AL263" s="126"/>
      <c r="AM263" s="128"/>
      <c r="AN263" s="135"/>
      <c r="AO263" s="125"/>
      <c r="AP263" s="125"/>
      <c r="AQ263" s="123"/>
    </row>
    <row r="264" customHeight="1" spans="1:43">
      <c r="A264" s="122">
        <v>263</v>
      </c>
      <c r="B264" s="140">
        <v>42849</v>
      </c>
      <c r="C264" s="139" t="s">
        <v>1013</v>
      </c>
      <c r="D264" s="122" t="s">
        <v>1726</v>
      </c>
      <c r="E264" s="122" t="s">
        <v>3106</v>
      </c>
      <c r="F264" s="141" t="s">
        <v>3107</v>
      </c>
      <c r="G264" s="141" t="s">
        <v>36</v>
      </c>
      <c r="H264" s="137" t="s">
        <v>251</v>
      </c>
      <c r="I264" s="139" t="s">
        <v>56</v>
      </c>
      <c r="J264" s="139" t="s">
        <v>3000</v>
      </c>
      <c r="K264" s="139" t="s">
        <v>227</v>
      </c>
      <c r="L264" s="142">
        <v>42195</v>
      </c>
      <c r="M264" s="139" t="str">
        <f ca="1" t="shared" ref="M264:M277" si="15">IF(L264="","",DATEDIF(L264,NOW(),"Y")&amp;"年"&amp;MOD(DATEDIF(L264,NOW(),"M"),12)&amp;"个月")</f>
        <v>10年6个月</v>
      </c>
      <c r="N264" s="181" t="s">
        <v>3108</v>
      </c>
      <c r="O264" s="139" t="s">
        <v>782</v>
      </c>
      <c r="P264" s="142">
        <v>32531</v>
      </c>
      <c r="Q264" s="143">
        <f ca="1" t="shared" si="14"/>
        <v>37</v>
      </c>
      <c r="R264" s="151" t="s">
        <v>1001</v>
      </c>
      <c r="S264" s="139" t="s">
        <v>785</v>
      </c>
      <c r="T264" s="139" t="s">
        <v>1002</v>
      </c>
      <c r="U264" s="139" t="s">
        <v>3109</v>
      </c>
      <c r="V264" s="139" t="s">
        <v>3110</v>
      </c>
      <c r="W264" s="139" t="s">
        <v>1054</v>
      </c>
      <c r="X264" s="139" t="s">
        <v>1006</v>
      </c>
      <c r="Y264" s="139" t="s">
        <v>2667</v>
      </c>
      <c r="Z264" s="139" t="s">
        <v>2259</v>
      </c>
      <c r="AA264" s="222" t="s">
        <v>3111</v>
      </c>
      <c r="AB264" s="251">
        <v>18006789592</v>
      </c>
      <c r="AC264" s="252" t="s">
        <v>3112</v>
      </c>
      <c r="AD264" s="149" t="s">
        <v>3113</v>
      </c>
      <c r="AE264" s="149" t="s">
        <v>3114</v>
      </c>
      <c r="AF264" s="153" t="s">
        <v>3115</v>
      </c>
      <c r="AG264" s="149" t="s">
        <v>1046</v>
      </c>
      <c r="AH264" s="153">
        <v>13606788023</v>
      </c>
      <c r="AI264" s="149" t="s">
        <v>1035</v>
      </c>
      <c r="AJ264" s="149" t="s">
        <v>1552</v>
      </c>
      <c r="AK264" s="149"/>
      <c r="AL264" s="142">
        <v>42309</v>
      </c>
      <c r="AM264" s="142">
        <v>43039</v>
      </c>
      <c r="AN264" s="148">
        <f ca="1" t="shared" ref="AN264:AN271" si="16">ROUND(AM264-NOW(),0)</f>
        <v>-3013</v>
      </c>
      <c r="AO264" s="139"/>
      <c r="AP264" s="139"/>
      <c r="AQ264" s="137" t="s">
        <v>23</v>
      </c>
    </row>
    <row r="265" customHeight="1" spans="1:43">
      <c r="A265" s="122">
        <v>264</v>
      </c>
      <c r="B265" s="140">
        <v>42849</v>
      </c>
      <c r="C265" s="139" t="s">
        <v>1013</v>
      </c>
      <c r="D265" s="122" t="s">
        <v>1726</v>
      </c>
      <c r="E265" s="122"/>
      <c r="F265" s="141" t="s">
        <v>3116</v>
      </c>
      <c r="G265" s="141" t="s">
        <v>36</v>
      </c>
      <c r="H265" s="137" t="s">
        <v>251</v>
      </c>
      <c r="I265" s="139" t="s">
        <v>65</v>
      </c>
      <c r="J265" s="139" t="s">
        <v>3000</v>
      </c>
      <c r="K265" s="139" t="s">
        <v>227</v>
      </c>
      <c r="L265" s="142">
        <v>42234</v>
      </c>
      <c r="M265" s="139" t="str">
        <f ca="1" t="shared" si="15"/>
        <v>10年5个月</v>
      </c>
      <c r="N265" s="181" t="s">
        <v>3117</v>
      </c>
      <c r="O265" s="139" t="s">
        <v>782</v>
      </c>
      <c r="P265" s="142">
        <v>32418</v>
      </c>
      <c r="Q265" s="143">
        <f ca="1" t="shared" si="14"/>
        <v>37</v>
      </c>
      <c r="R265" s="151" t="s">
        <v>1001</v>
      </c>
      <c r="S265" s="139" t="s">
        <v>785</v>
      </c>
      <c r="T265" s="139" t="s">
        <v>1002</v>
      </c>
      <c r="U265" s="139" t="s">
        <v>3118</v>
      </c>
      <c r="V265" s="139" t="s">
        <v>3119</v>
      </c>
      <c r="W265" s="139" t="s">
        <v>1054</v>
      </c>
      <c r="X265" s="139" t="s">
        <v>1006</v>
      </c>
      <c r="Y265" s="139" t="s">
        <v>3120</v>
      </c>
      <c r="Z265" s="139" t="s">
        <v>1056</v>
      </c>
      <c r="AA265" s="222">
        <v>41061</v>
      </c>
      <c r="AB265" s="251">
        <v>18057176709</v>
      </c>
      <c r="AC265" s="252" t="s">
        <v>3121</v>
      </c>
      <c r="AD265" s="149">
        <v>0</v>
      </c>
      <c r="AE265" s="149" t="s">
        <v>3119</v>
      </c>
      <c r="AF265" s="153" t="s">
        <v>3122</v>
      </c>
      <c r="AG265" s="149" t="s">
        <v>1974</v>
      </c>
      <c r="AH265" s="153">
        <v>18607121258</v>
      </c>
      <c r="AI265" s="149" t="s">
        <v>1035</v>
      </c>
      <c r="AJ265" s="149" t="s">
        <v>3123</v>
      </c>
      <c r="AK265" s="149"/>
      <c r="AL265" s="142">
        <v>42309</v>
      </c>
      <c r="AM265" s="142">
        <v>43039</v>
      </c>
      <c r="AN265" s="148">
        <f ca="1" t="shared" si="16"/>
        <v>-3013</v>
      </c>
      <c r="AO265" s="139"/>
      <c r="AP265" s="139"/>
      <c r="AQ265" s="137" t="s">
        <v>23</v>
      </c>
    </row>
    <row r="266" customHeight="1" spans="1:43">
      <c r="A266" s="122">
        <v>265</v>
      </c>
      <c r="B266" s="140">
        <v>42849</v>
      </c>
      <c r="C266" s="139" t="s">
        <v>1013</v>
      </c>
      <c r="D266" s="122" t="s">
        <v>1726</v>
      </c>
      <c r="E266" s="122"/>
      <c r="F266" s="141" t="s">
        <v>3124</v>
      </c>
      <c r="G266" s="141" t="s">
        <v>36</v>
      </c>
      <c r="H266" s="137" t="s">
        <v>251</v>
      </c>
      <c r="I266" s="139" t="s">
        <v>191</v>
      </c>
      <c r="J266" s="139" t="s">
        <v>3000</v>
      </c>
      <c r="K266" s="139" t="s">
        <v>227</v>
      </c>
      <c r="L266" s="142">
        <v>42240</v>
      </c>
      <c r="M266" s="139" t="str">
        <f ca="1" t="shared" si="15"/>
        <v>10年5个月</v>
      </c>
      <c r="N266" s="181" t="s">
        <v>3125</v>
      </c>
      <c r="O266" s="139" t="s">
        <v>782</v>
      </c>
      <c r="P266" s="142">
        <v>31751</v>
      </c>
      <c r="Q266" s="143">
        <f ca="1" t="shared" si="14"/>
        <v>39</v>
      </c>
      <c r="R266" s="151" t="s">
        <v>1001</v>
      </c>
      <c r="S266" s="139" t="s">
        <v>785</v>
      </c>
      <c r="T266" s="139" t="s">
        <v>1002</v>
      </c>
      <c r="U266" s="139" t="s">
        <v>3126</v>
      </c>
      <c r="V266" s="139" t="s">
        <v>3126</v>
      </c>
      <c r="W266" s="139" t="s">
        <v>1005</v>
      </c>
      <c r="X266" s="139" t="s">
        <v>1006</v>
      </c>
      <c r="Y266" s="139" t="s">
        <v>3127</v>
      </c>
      <c r="Z266" s="139" t="s">
        <v>3128</v>
      </c>
      <c r="AA266" s="222">
        <v>39965</v>
      </c>
      <c r="AB266" s="251">
        <v>15715787466</v>
      </c>
      <c r="AC266" s="252" t="s">
        <v>3129</v>
      </c>
      <c r="AD266" s="149" t="s">
        <v>3130</v>
      </c>
      <c r="AE266" s="149" t="s">
        <v>3126</v>
      </c>
      <c r="AF266" s="153" t="s">
        <v>3131</v>
      </c>
      <c r="AG266" s="149" t="s">
        <v>1097</v>
      </c>
      <c r="AH266" s="153">
        <v>13860595266</v>
      </c>
      <c r="AI266" s="149" t="s">
        <v>1035</v>
      </c>
      <c r="AJ266" s="149" t="s">
        <v>1552</v>
      </c>
      <c r="AK266" s="149"/>
      <c r="AL266" s="142">
        <v>42309</v>
      </c>
      <c r="AM266" s="142">
        <v>43039</v>
      </c>
      <c r="AN266" s="148">
        <f ca="1" t="shared" si="16"/>
        <v>-3013</v>
      </c>
      <c r="AO266" s="139"/>
      <c r="AP266" s="139"/>
      <c r="AQ266" s="137" t="s">
        <v>23</v>
      </c>
    </row>
    <row r="267" customHeight="1" spans="1:43">
      <c r="A267" s="122">
        <v>266</v>
      </c>
      <c r="B267" s="140">
        <v>42849</v>
      </c>
      <c r="C267" s="139" t="s">
        <v>1013</v>
      </c>
      <c r="D267" s="122" t="s">
        <v>1726</v>
      </c>
      <c r="E267" s="122"/>
      <c r="F267" s="141" t="s">
        <v>3132</v>
      </c>
      <c r="G267" s="141" t="s">
        <v>36</v>
      </c>
      <c r="H267" s="137" t="s">
        <v>251</v>
      </c>
      <c r="I267" s="139" t="s">
        <v>181</v>
      </c>
      <c r="J267" s="139" t="s">
        <v>3000</v>
      </c>
      <c r="K267" s="139" t="s">
        <v>227</v>
      </c>
      <c r="L267" s="142">
        <v>42268</v>
      </c>
      <c r="M267" s="139" t="str">
        <f ca="1" t="shared" si="15"/>
        <v>10年4个月</v>
      </c>
      <c r="N267" s="181" t="s">
        <v>3133</v>
      </c>
      <c r="O267" s="139" t="s">
        <v>782</v>
      </c>
      <c r="P267" s="142">
        <v>30733</v>
      </c>
      <c r="Q267" s="143">
        <f ca="1" t="shared" si="14"/>
        <v>41</v>
      </c>
      <c r="R267" s="151" t="s">
        <v>1001</v>
      </c>
      <c r="S267" s="139" t="s">
        <v>879</v>
      </c>
      <c r="T267" s="139" t="s">
        <v>1292</v>
      </c>
      <c r="U267" s="139" t="s">
        <v>3134</v>
      </c>
      <c r="V267" s="139" t="s">
        <v>3135</v>
      </c>
      <c r="W267" s="139" t="s">
        <v>1005</v>
      </c>
      <c r="X267" s="139" t="s">
        <v>3136</v>
      </c>
      <c r="Y267" s="139" t="s">
        <v>3137</v>
      </c>
      <c r="Z267" s="139" t="s">
        <v>1493</v>
      </c>
      <c r="AA267" s="222">
        <v>39264</v>
      </c>
      <c r="AB267" s="251">
        <v>13336065720</v>
      </c>
      <c r="AC267" s="252" t="s">
        <v>3138</v>
      </c>
      <c r="AD267" s="149" t="s">
        <v>3139</v>
      </c>
      <c r="AE267" s="149" t="s">
        <v>3140</v>
      </c>
      <c r="AF267" s="153" t="s">
        <v>3141</v>
      </c>
      <c r="AG267" s="149" t="s">
        <v>1167</v>
      </c>
      <c r="AH267" s="153">
        <v>15968876201</v>
      </c>
      <c r="AI267" s="149" t="s">
        <v>1084</v>
      </c>
      <c r="AJ267" s="149"/>
      <c r="AK267" s="149"/>
      <c r="AL267" s="142">
        <v>42268</v>
      </c>
      <c r="AM267" s="142">
        <v>43039</v>
      </c>
      <c r="AN267" s="148">
        <f ca="1" t="shared" si="16"/>
        <v>-3013</v>
      </c>
      <c r="AO267" s="139" t="s">
        <v>3142</v>
      </c>
      <c r="AP267" s="139"/>
      <c r="AQ267" s="137"/>
    </row>
    <row r="268" customHeight="1" spans="1:43">
      <c r="A268" s="122">
        <v>267</v>
      </c>
      <c r="B268" s="140">
        <v>42849</v>
      </c>
      <c r="C268" s="139" t="s">
        <v>1013</v>
      </c>
      <c r="D268" s="122" t="s">
        <v>1726</v>
      </c>
      <c r="E268" s="122"/>
      <c r="F268" s="141" t="s">
        <v>3143</v>
      </c>
      <c r="G268" s="141" t="s">
        <v>36</v>
      </c>
      <c r="H268" s="137" t="s">
        <v>251</v>
      </c>
      <c r="I268" s="139" t="s">
        <v>115</v>
      </c>
      <c r="J268" s="139" t="s">
        <v>3000</v>
      </c>
      <c r="K268" s="139" t="s">
        <v>227</v>
      </c>
      <c r="L268" s="142">
        <v>42317</v>
      </c>
      <c r="M268" s="139" t="str">
        <f ca="1" t="shared" si="15"/>
        <v>10年2个月</v>
      </c>
      <c r="N268" s="181" t="s">
        <v>3144</v>
      </c>
      <c r="O268" s="139" t="s">
        <v>794</v>
      </c>
      <c r="P268" s="142">
        <v>33133</v>
      </c>
      <c r="Q268" s="143">
        <f ca="1" t="shared" si="14"/>
        <v>35</v>
      </c>
      <c r="R268" s="151" t="s">
        <v>1001</v>
      </c>
      <c r="S268" s="139" t="s">
        <v>879</v>
      </c>
      <c r="T268" s="139" t="s">
        <v>1002</v>
      </c>
      <c r="U268" s="139" t="s">
        <v>3145</v>
      </c>
      <c r="V268" s="139" t="s">
        <v>3146</v>
      </c>
      <c r="W268" s="139" t="s">
        <v>1005</v>
      </c>
      <c r="X268" s="139" t="s">
        <v>1006</v>
      </c>
      <c r="Y268" s="139" t="s">
        <v>3147</v>
      </c>
      <c r="Z268" s="139" t="s">
        <v>824</v>
      </c>
      <c r="AA268" s="222">
        <v>40724</v>
      </c>
      <c r="AB268" s="251" t="s">
        <v>3148</v>
      </c>
      <c r="AC268" s="252" t="s">
        <v>3149</v>
      </c>
      <c r="AD268" s="149" t="s">
        <v>3150</v>
      </c>
      <c r="AE268" s="149" t="s">
        <v>3151</v>
      </c>
      <c r="AF268" s="153" t="s">
        <v>3152</v>
      </c>
      <c r="AG268" s="149" t="s">
        <v>1167</v>
      </c>
      <c r="AH268" s="153">
        <v>15858285237</v>
      </c>
      <c r="AI268" s="149" t="s">
        <v>1084</v>
      </c>
      <c r="AJ268" s="149"/>
      <c r="AK268" s="149"/>
      <c r="AL268" s="142">
        <v>42317</v>
      </c>
      <c r="AM268" s="142">
        <v>43047</v>
      </c>
      <c r="AN268" s="148">
        <f ca="1" t="shared" si="16"/>
        <v>-3005</v>
      </c>
      <c r="AO268" s="139"/>
      <c r="AP268" s="139"/>
      <c r="AQ268" s="137"/>
    </row>
    <row r="269" customHeight="1" spans="1:43">
      <c r="A269" s="122">
        <v>268</v>
      </c>
      <c r="B269" s="140">
        <v>42849</v>
      </c>
      <c r="C269" s="139" t="s">
        <v>1013</v>
      </c>
      <c r="D269" s="122" t="s">
        <v>1726</v>
      </c>
      <c r="E269" s="122"/>
      <c r="F269" s="141" t="s">
        <v>3153</v>
      </c>
      <c r="G269" s="141" t="s">
        <v>36</v>
      </c>
      <c r="H269" s="137" t="s">
        <v>251</v>
      </c>
      <c r="I269" s="139" t="s">
        <v>65</v>
      </c>
      <c r="J269" s="139" t="s">
        <v>3000</v>
      </c>
      <c r="K269" s="139" t="s">
        <v>227</v>
      </c>
      <c r="L269" s="142">
        <v>42331</v>
      </c>
      <c r="M269" s="139" t="str">
        <f ca="1" t="shared" si="15"/>
        <v>10年2个月</v>
      </c>
      <c r="N269" s="181" t="s">
        <v>3154</v>
      </c>
      <c r="O269" s="139" t="s">
        <v>782</v>
      </c>
      <c r="P269" s="142">
        <v>32027</v>
      </c>
      <c r="Q269" s="143">
        <v>29</v>
      </c>
      <c r="R269" s="151" t="s">
        <v>1001</v>
      </c>
      <c r="S269" s="139" t="s">
        <v>785</v>
      </c>
      <c r="T269" s="139" t="s">
        <v>1002</v>
      </c>
      <c r="U269" s="139" t="s">
        <v>3155</v>
      </c>
      <c r="V269" s="139" t="s">
        <v>3156</v>
      </c>
      <c r="W269" s="139" t="s">
        <v>1005</v>
      </c>
      <c r="X269" s="139" t="s">
        <v>1006</v>
      </c>
      <c r="Y269" s="139" t="s">
        <v>3157</v>
      </c>
      <c r="Z269" s="139" t="s">
        <v>824</v>
      </c>
      <c r="AA269" s="222">
        <v>41090</v>
      </c>
      <c r="AB269" s="251" t="s">
        <v>3158</v>
      </c>
      <c r="AC269" s="252" t="s">
        <v>3159</v>
      </c>
      <c r="AD269" s="149" t="s">
        <v>3160</v>
      </c>
      <c r="AE269" s="149" t="s">
        <v>3161</v>
      </c>
      <c r="AF269" s="153" t="s">
        <v>3162</v>
      </c>
      <c r="AG269" s="149" t="s">
        <v>1974</v>
      </c>
      <c r="AH269" s="153">
        <v>15906657579</v>
      </c>
      <c r="AI269" s="149" t="s">
        <v>1060</v>
      </c>
      <c r="AJ269" s="149"/>
      <c r="AK269" s="149"/>
      <c r="AL269" s="142">
        <v>42331</v>
      </c>
      <c r="AM269" s="142">
        <v>43061</v>
      </c>
      <c r="AN269" s="148">
        <f ca="1" t="shared" si="16"/>
        <v>-2991</v>
      </c>
      <c r="AO269" s="139"/>
      <c r="AP269" s="139"/>
      <c r="AQ269" s="137"/>
    </row>
    <row r="270" customHeight="1" spans="1:43">
      <c r="A270" s="122">
        <v>269</v>
      </c>
      <c r="B270" s="140">
        <v>42849</v>
      </c>
      <c r="C270" s="139" t="s">
        <v>1013</v>
      </c>
      <c r="D270" s="122" t="s">
        <v>1726</v>
      </c>
      <c r="E270" s="122"/>
      <c r="F270" s="141" t="s">
        <v>3163</v>
      </c>
      <c r="G270" s="141" t="s">
        <v>36</v>
      </c>
      <c r="H270" s="137" t="s">
        <v>251</v>
      </c>
      <c r="I270" s="139" t="s">
        <v>65</v>
      </c>
      <c r="J270" s="139" t="s">
        <v>3000</v>
      </c>
      <c r="K270" s="139" t="s">
        <v>227</v>
      </c>
      <c r="L270" s="142">
        <v>42465</v>
      </c>
      <c r="M270" s="139" t="str">
        <f ca="1" t="shared" si="15"/>
        <v>9年9个月</v>
      </c>
      <c r="N270" s="181" t="s">
        <v>3164</v>
      </c>
      <c r="O270" s="139" t="s">
        <v>782</v>
      </c>
      <c r="P270" s="142">
        <v>32747</v>
      </c>
      <c r="Q270" s="143">
        <f ca="1" t="shared" ref="Q270:Q293" si="17">IF(N270="","",IF(AND(LEN(N270)&lt;&gt;15,LEN(N270)&lt;&gt;18),"错误",ROUNDDOWN((NOW()-P270)/365,0)))</f>
        <v>36</v>
      </c>
      <c r="R270" s="151" t="s">
        <v>1001</v>
      </c>
      <c r="S270" s="139" t="s">
        <v>785</v>
      </c>
      <c r="T270" s="139" t="s">
        <v>1002</v>
      </c>
      <c r="U270" s="139" t="s">
        <v>1276</v>
      </c>
      <c r="V270" s="139" t="s">
        <v>3165</v>
      </c>
      <c r="W270" s="139" t="s">
        <v>1054</v>
      </c>
      <c r="X270" s="139" t="s">
        <v>1006</v>
      </c>
      <c r="Y270" s="139" t="s">
        <v>1293</v>
      </c>
      <c r="Z270" s="139" t="s">
        <v>3166</v>
      </c>
      <c r="AA270" s="222"/>
      <c r="AB270" s="251">
        <v>15088666376</v>
      </c>
      <c r="AC270" s="252" t="s">
        <v>3167</v>
      </c>
      <c r="AD270" s="149" t="s">
        <v>3168</v>
      </c>
      <c r="AE270" s="149" t="s">
        <v>3169</v>
      </c>
      <c r="AF270" s="153" t="s">
        <v>3170</v>
      </c>
      <c r="AG270" s="149" t="s">
        <v>1137</v>
      </c>
      <c r="AH270" s="153">
        <v>13643838458</v>
      </c>
      <c r="AI270" s="149" t="s">
        <v>1060</v>
      </c>
      <c r="AJ270" s="149"/>
      <c r="AK270" s="149"/>
      <c r="AL270" s="142">
        <v>42465</v>
      </c>
      <c r="AM270" s="142">
        <v>43195</v>
      </c>
      <c r="AN270" s="148">
        <f ca="1" t="shared" si="16"/>
        <v>-2857</v>
      </c>
      <c r="AO270" s="139"/>
      <c r="AP270" s="139"/>
      <c r="AQ270" s="137" t="s">
        <v>23</v>
      </c>
    </row>
    <row r="271" customHeight="1" spans="1:43">
      <c r="A271" s="122">
        <v>270</v>
      </c>
      <c r="B271" s="140">
        <v>42849</v>
      </c>
      <c r="C271" s="139" t="s">
        <v>1013</v>
      </c>
      <c r="D271" s="122" t="s">
        <v>1726</v>
      </c>
      <c r="E271" s="122"/>
      <c r="F271" s="141" t="s">
        <v>3171</v>
      </c>
      <c r="G271" s="141" t="s">
        <v>36</v>
      </c>
      <c r="H271" s="137" t="s">
        <v>251</v>
      </c>
      <c r="I271" s="139" t="s">
        <v>115</v>
      </c>
      <c r="J271" s="139" t="s">
        <v>3000</v>
      </c>
      <c r="K271" s="139" t="s">
        <v>227</v>
      </c>
      <c r="L271" s="142">
        <v>42485</v>
      </c>
      <c r="M271" s="139" t="str">
        <f ca="1" t="shared" si="15"/>
        <v>9年9个月</v>
      </c>
      <c r="N271" s="181" t="s">
        <v>3172</v>
      </c>
      <c r="O271" s="139" t="s">
        <v>782</v>
      </c>
      <c r="P271" s="142">
        <v>31219</v>
      </c>
      <c r="Q271" s="143">
        <f ca="1" t="shared" si="17"/>
        <v>40</v>
      </c>
      <c r="R271" s="151" t="s">
        <v>1001</v>
      </c>
      <c r="S271" s="139" t="s">
        <v>879</v>
      </c>
      <c r="T271" s="139" t="s">
        <v>1292</v>
      </c>
      <c r="U271" s="139" t="s">
        <v>3173</v>
      </c>
      <c r="V271" s="139" t="s">
        <v>3174</v>
      </c>
      <c r="W271" s="139" t="s">
        <v>1005</v>
      </c>
      <c r="X271" s="139" t="s">
        <v>1006</v>
      </c>
      <c r="Y271" s="139" t="s">
        <v>2090</v>
      </c>
      <c r="Z271" s="139" t="s">
        <v>3175</v>
      </c>
      <c r="AA271" s="222"/>
      <c r="AB271" s="251">
        <v>18658861628</v>
      </c>
      <c r="AC271" s="252" t="s">
        <v>3176</v>
      </c>
      <c r="AD271" s="149" t="s">
        <v>3177</v>
      </c>
      <c r="AE271" s="149" t="s">
        <v>3174</v>
      </c>
      <c r="AF271" s="153" t="s">
        <v>3178</v>
      </c>
      <c r="AG271" s="149" t="s">
        <v>1167</v>
      </c>
      <c r="AH271" s="153">
        <v>15967139086</v>
      </c>
      <c r="AI271" s="149" t="s">
        <v>1060</v>
      </c>
      <c r="AJ271" s="149"/>
      <c r="AK271" s="149"/>
      <c r="AL271" s="142">
        <v>42485</v>
      </c>
      <c r="AM271" s="142">
        <v>43215</v>
      </c>
      <c r="AN271" s="148">
        <f ca="1" t="shared" si="16"/>
        <v>-2837</v>
      </c>
      <c r="AO271" s="139"/>
      <c r="AP271" s="139"/>
      <c r="AQ271" s="137" t="s">
        <v>23</v>
      </c>
    </row>
    <row r="272" customHeight="1" spans="1:43">
      <c r="A272" s="122">
        <v>271</v>
      </c>
      <c r="B272" s="140">
        <v>42849</v>
      </c>
      <c r="C272" s="139" t="s">
        <v>1013</v>
      </c>
      <c r="D272" s="122" t="s">
        <v>1726</v>
      </c>
      <c r="E272" s="122"/>
      <c r="F272" s="141" t="s">
        <v>3179</v>
      </c>
      <c r="G272" s="141" t="s">
        <v>36</v>
      </c>
      <c r="H272" s="137" t="s">
        <v>251</v>
      </c>
      <c r="I272" s="139" t="s">
        <v>320</v>
      </c>
      <c r="J272" s="139" t="s">
        <v>3000</v>
      </c>
      <c r="K272" s="139" t="s">
        <v>227</v>
      </c>
      <c r="L272" s="142">
        <v>42552</v>
      </c>
      <c r="M272" s="139" t="str">
        <f ca="1" t="shared" si="15"/>
        <v>9年6个月</v>
      </c>
      <c r="N272" s="181" t="s">
        <v>3180</v>
      </c>
      <c r="O272" s="139" t="s">
        <v>782</v>
      </c>
      <c r="P272" s="142">
        <v>34036</v>
      </c>
      <c r="Q272" s="143">
        <f ca="1" t="shared" si="17"/>
        <v>32</v>
      </c>
      <c r="R272" s="151" t="s">
        <v>1001</v>
      </c>
      <c r="S272" s="139" t="s">
        <v>785</v>
      </c>
      <c r="T272" s="139" t="s">
        <v>1002</v>
      </c>
      <c r="U272" s="139" t="s">
        <v>2479</v>
      </c>
      <c r="V272" s="139" t="s">
        <v>3181</v>
      </c>
      <c r="W272" s="139" t="s">
        <v>1005</v>
      </c>
      <c r="X272" s="139" t="s">
        <v>1006</v>
      </c>
      <c r="Y272" s="139" t="s">
        <v>1380</v>
      </c>
      <c r="Z272" s="139" t="s">
        <v>1559</v>
      </c>
      <c r="AA272" s="222"/>
      <c r="AB272" s="251">
        <v>15958134758</v>
      </c>
      <c r="AC272" s="252" t="s">
        <v>3182</v>
      </c>
      <c r="AD272" s="149" t="s">
        <v>3183</v>
      </c>
      <c r="AE272" s="149" t="s">
        <v>3184</v>
      </c>
      <c r="AF272" s="153" t="s">
        <v>3185</v>
      </c>
      <c r="AG272" s="149" t="s">
        <v>1137</v>
      </c>
      <c r="AH272" s="153">
        <v>13806754137</v>
      </c>
      <c r="AI272" s="149" t="s">
        <v>1087</v>
      </c>
      <c r="AJ272" s="149"/>
      <c r="AK272" s="149"/>
      <c r="AL272" s="142">
        <v>42552</v>
      </c>
      <c r="AM272" s="142"/>
      <c r="AN272" s="148"/>
      <c r="AO272" s="139"/>
      <c r="AP272" s="139"/>
      <c r="AQ272" s="137" t="s">
        <v>23</v>
      </c>
    </row>
    <row r="273" customHeight="1" spans="1:43">
      <c r="A273" s="122">
        <v>272</v>
      </c>
      <c r="B273" s="140">
        <v>42849</v>
      </c>
      <c r="C273" s="139" t="s">
        <v>1013</v>
      </c>
      <c r="D273" s="122" t="s">
        <v>1726</v>
      </c>
      <c r="E273" s="122"/>
      <c r="F273" s="141" t="s">
        <v>3186</v>
      </c>
      <c r="G273" s="141" t="s">
        <v>36</v>
      </c>
      <c r="H273" s="137" t="s">
        <v>251</v>
      </c>
      <c r="I273" s="139" t="s">
        <v>3187</v>
      </c>
      <c r="J273" s="139" t="s">
        <v>3000</v>
      </c>
      <c r="K273" s="139" t="s">
        <v>227</v>
      </c>
      <c r="L273" s="142">
        <v>42723</v>
      </c>
      <c r="M273" s="139" t="str">
        <f ca="1" t="shared" si="15"/>
        <v>9年1个月</v>
      </c>
      <c r="N273" s="181" t="s">
        <v>3188</v>
      </c>
      <c r="O273" s="139" t="s">
        <v>782</v>
      </c>
      <c r="P273" s="142">
        <v>33478</v>
      </c>
      <c r="Q273" s="143">
        <f ca="1" t="shared" si="17"/>
        <v>34</v>
      </c>
      <c r="R273" s="151" t="s">
        <v>1001</v>
      </c>
      <c r="S273" s="139" t="s">
        <v>785</v>
      </c>
      <c r="T273" s="139" t="s">
        <v>1002</v>
      </c>
      <c r="U273" s="139" t="s">
        <v>1132</v>
      </c>
      <c r="V273" s="139" t="s">
        <v>3189</v>
      </c>
      <c r="W273" s="139" t="s">
        <v>1005</v>
      </c>
      <c r="X273" s="139" t="s">
        <v>1006</v>
      </c>
      <c r="Y273" s="139" t="s">
        <v>1162</v>
      </c>
      <c r="Z273" s="139" t="s">
        <v>3190</v>
      </c>
      <c r="AA273" s="222">
        <v>41061</v>
      </c>
      <c r="AB273" s="251">
        <v>18967149896</v>
      </c>
      <c r="AC273" s="252" t="s">
        <v>3191</v>
      </c>
      <c r="AD273" s="149" t="s">
        <v>3192</v>
      </c>
      <c r="AE273" s="149" t="s">
        <v>3193</v>
      </c>
      <c r="AF273" s="153" t="s">
        <v>3194</v>
      </c>
      <c r="AG273" s="149" t="s">
        <v>1046</v>
      </c>
      <c r="AH273" s="153">
        <v>13966374979</v>
      </c>
      <c r="AI273" s="149" t="s">
        <v>1060</v>
      </c>
      <c r="AJ273" s="149">
        <v>0</v>
      </c>
      <c r="AK273" s="149" t="s">
        <v>3195</v>
      </c>
      <c r="AL273" s="142">
        <v>42723</v>
      </c>
      <c r="AM273" s="142">
        <f>EDATE(AL273,36)</f>
        <v>43818</v>
      </c>
      <c r="AN273" s="148">
        <f ca="1" t="shared" ref="AN273:AN280" si="18">ROUND(AM273-NOW(),0)</f>
        <v>-2234</v>
      </c>
      <c r="AO273" s="139"/>
      <c r="AP273" s="139"/>
      <c r="AQ273" s="137"/>
    </row>
    <row r="274" customHeight="1" spans="1:43">
      <c r="A274" s="122">
        <v>273</v>
      </c>
      <c r="B274" s="140">
        <v>42849</v>
      </c>
      <c r="C274" s="139" t="s">
        <v>1013</v>
      </c>
      <c r="D274" s="122" t="s">
        <v>1726</v>
      </c>
      <c r="E274" s="122"/>
      <c r="F274" s="141" t="s">
        <v>3196</v>
      </c>
      <c r="G274" s="141" t="s">
        <v>36</v>
      </c>
      <c r="H274" s="137" t="s">
        <v>251</v>
      </c>
      <c r="I274" s="139" t="s">
        <v>3187</v>
      </c>
      <c r="J274" s="139" t="s">
        <v>3000</v>
      </c>
      <c r="K274" s="139" t="s">
        <v>227</v>
      </c>
      <c r="L274" s="142">
        <v>42731</v>
      </c>
      <c r="M274" s="139" t="str">
        <f ca="1" t="shared" si="15"/>
        <v>9年1个月</v>
      </c>
      <c r="N274" s="181" t="s">
        <v>3197</v>
      </c>
      <c r="O274" s="139" t="s">
        <v>782</v>
      </c>
      <c r="P274" s="142">
        <v>33319</v>
      </c>
      <c r="Q274" s="143">
        <f ca="1" t="shared" si="17"/>
        <v>34</v>
      </c>
      <c r="R274" s="151" t="s">
        <v>1001</v>
      </c>
      <c r="S274" s="139" t="s">
        <v>879</v>
      </c>
      <c r="T274" s="139" t="s">
        <v>1002</v>
      </c>
      <c r="U274" s="139" t="s">
        <v>1588</v>
      </c>
      <c r="V274" s="139" t="s">
        <v>3198</v>
      </c>
      <c r="W274" s="139" t="s">
        <v>1054</v>
      </c>
      <c r="X274" s="139" t="s">
        <v>1006</v>
      </c>
      <c r="Y274" s="139" t="s">
        <v>3199</v>
      </c>
      <c r="Z274" s="139" t="s">
        <v>3200</v>
      </c>
      <c r="AA274" s="222">
        <v>41061</v>
      </c>
      <c r="AB274" s="251">
        <v>15158106869</v>
      </c>
      <c r="AC274" s="252" t="s">
        <v>3201</v>
      </c>
      <c r="AD274" s="149" t="s">
        <v>3202</v>
      </c>
      <c r="AE274" s="149" t="s">
        <v>3203</v>
      </c>
      <c r="AF274" s="153" t="s">
        <v>3204</v>
      </c>
      <c r="AG274" s="149" t="s">
        <v>3205</v>
      </c>
      <c r="AH274" s="153">
        <v>13645701686</v>
      </c>
      <c r="AI274" s="149" t="s">
        <v>1060</v>
      </c>
      <c r="AJ274" s="149">
        <v>0</v>
      </c>
      <c r="AK274" s="149" t="s">
        <v>3206</v>
      </c>
      <c r="AL274" s="142">
        <v>42730</v>
      </c>
      <c r="AM274" s="142">
        <f>EDATE(AL274,36)</f>
        <v>43825</v>
      </c>
      <c r="AN274" s="148">
        <f ca="1" t="shared" si="18"/>
        <v>-2227</v>
      </c>
      <c r="AO274" s="139"/>
      <c r="AP274" s="139"/>
      <c r="AQ274" s="137"/>
    </row>
    <row r="275" customHeight="1" spans="1:43">
      <c r="A275" s="122">
        <v>274</v>
      </c>
      <c r="B275" s="140">
        <v>42849</v>
      </c>
      <c r="C275" s="139" t="s">
        <v>1013</v>
      </c>
      <c r="D275" s="122" t="s">
        <v>1726</v>
      </c>
      <c r="E275" s="122"/>
      <c r="F275" s="141" t="s">
        <v>3207</v>
      </c>
      <c r="G275" s="141" t="s">
        <v>36</v>
      </c>
      <c r="H275" s="137" t="s">
        <v>251</v>
      </c>
      <c r="I275" s="139" t="s">
        <v>3187</v>
      </c>
      <c r="J275" s="139" t="s">
        <v>3000</v>
      </c>
      <c r="K275" s="139" t="s">
        <v>227</v>
      </c>
      <c r="L275" s="142">
        <v>42751</v>
      </c>
      <c r="M275" s="139" t="str">
        <f ca="1" t="shared" si="15"/>
        <v>9年0个月</v>
      </c>
      <c r="N275" s="181" t="s">
        <v>3208</v>
      </c>
      <c r="O275" s="139" t="s">
        <v>782</v>
      </c>
      <c r="P275" s="142">
        <v>32410</v>
      </c>
      <c r="Q275" s="143">
        <f ca="1" t="shared" si="17"/>
        <v>37</v>
      </c>
      <c r="R275" s="151" t="s">
        <v>1001</v>
      </c>
      <c r="S275" s="139" t="s">
        <v>879</v>
      </c>
      <c r="T275" s="139" t="s">
        <v>1051</v>
      </c>
      <c r="U275" s="139" t="s">
        <v>3209</v>
      </c>
      <c r="V275" s="139" t="s">
        <v>3210</v>
      </c>
      <c r="W275" s="139" t="s">
        <v>1054</v>
      </c>
      <c r="X275" s="139" t="s">
        <v>1006</v>
      </c>
      <c r="Y275" s="139" t="s">
        <v>3211</v>
      </c>
      <c r="Z275" s="139" t="s">
        <v>3212</v>
      </c>
      <c r="AA275" s="222">
        <v>40360</v>
      </c>
      <c r="AB275" s="251">
        <v>18698550977</v>
      </c>
      <c r="AC275" s="252" t="s">
        <v>3213</v>
      </c>
      <c r="AD275" s="149" t="s">
        <v>3214</v>
      </c>
      <c r="AE275" s="149" t="s">
        <v>3215</v>
      </c>
      <c r="AF275" s="153" t="s">
        <v>3216</v>
      </c>
      <c r="AG275" s="149" t="s">
        <v>1059</v>
      </c>
      <c r="AH275" s="153">
        <v>18857875797</v>
      </c>
      <c r="AI275" s="149" t="s">
        <v>1604</v>
      </c>
      <c r="AJ275" s="149" t="s">
        <v>3217</v>
      </c>
      <c r="AK275" s="149" t="s">
        <v>3218</v>
      </c>
      <c r="AL275" s="142">
        <v>42751</v>
      </c>
      <c r="AM275" s="142">
        <f>EDATE(AL275,36)</f>
        <v>43846</v>
      </c>
      <c r="AN275" s="148">
        <f ca="1" t="shared" si="18"/>
        <v>-2206</v>
      </c>
      <c r="AO275" s="139"/>
      <c r="AP275" s="139"/>
      <c r="AQ275" s="137"/>
    </row>
    <row r="276" customHeight="1" spans="1:43">
      <c r="A276" s="122">
        <v>275</v>
      </c>
      <c r="B276" s="140">
        <v>42849</v>
      </c>
      <c r="C276" s="139" t="s">
        <v>1013</v>
      </c>
      <c r="D276" s="122" t="s">
        <v>1726</v>
      </c>
      <c r="E276" s="122"/>
      <c r="F276" s="141" t="s">
        <v>3219</v>
      </c>
      <c r="G276" s="141" t="s">
        <v>36</v>
      </c>
      <c r="H276" s="137" t="s">
        <v>251</v>
      </c>
      <c r="I276" s="139" t="s">
        <v>465</v>
      </c>
      <c r="J276" s="139" t="s">
        <v>3000</v>
      </c>
      <c r="K276" s="139" t="s">
        <v>227</v>
      </c>
      <c r="L276" s="142">
        <v>42583</v>
      </c>
      <c r="M276" s="139" t="str">
        <f ca="1" t="shared" si="15"/>
        <v>9年5个月</v>
      </c>
      <c r="N276" s="181" t="s">
        <v>3220</v>
      </c>
      <c r="O276" s="139" t="s">
        <v>794</v>
      </c>
      <c r="P276" s="142">
        <v>34106</v>
      </c>
      <c r="Q276" s="143">
        <f ca="1" t="shared" si="17"/>
        <v>32</v>
      </c>
      <c r="R276" s="151" t="s">
        <v>1001</v>
      </c>
      <c r="S276" s="139" t="s">
        <v>785</v>
      </c>
      <c r="T276" s="139" t="s">
        <v>1002</v>
      </c>
      <c r="U276" s="139" t="s">
        <v>3221</v>
      </c>
      <c r="V276" s="139" t="s">
        <v>3222</v>
      </c>
      <c r="W276" s="139" t="s">
        <v>1005</v>
      </c>
      <c r="X276" s="139" t="s">
        <v>1006</v>
      </c>
      <c r="Y276" s="139" t="s">
        <v>1698</v>
      </c>
      <c r="Z276" s="139" t="s">
        <v>1559</v>
      </c>
      <c r="AA276" s="222"/>
      <c r="AB276" s="251" t="s">
        <v>3223</v>
      </c>
      <c r="AC276" s="252" t="s">
        <v>3224</v>
      </c>
      <c r="AD276" s="149" t="s">
        <v>3225</v>
      </c>
      <c r="AE276" s="149" t="s">
        <v>3226</v>
      </c>
      <c r="AF276" s="153" t="s">
        <v>3227</v>
      </c>
      <c r="AG276" s="149" t="s">
        <v>1046</v>
      </c>
      <c r="AH276" s="153">
        <v>13578352131</v>
      </c>
      <c r="AI276" s="149" t="s">
        <v>1087</v>
      </c>
      <c r="AJ276" s="149"/>
      <c r="AK276" s="149"/>
      <c r="AL276" s="142">
        <v>42583</v>
      </c>
      <c r="AM276" s="142">
        <v>43677</v>
      </c>
      <c r="AN276" s="148">
        <f ca="1" t="shared" si="18"/>
        <v>-2375</v>
      </c>
      <c r="AO276" s="139"/>
      <c r="AP276" s="139"/>
      <c r="AQ276" s="137" t="s">
        <v>23</v>
      </c>
    </row>
    <row r="277" customHeight="1" spans="1:43">
      <c r="A277" s="122">
        <v>276</v>
      </c>
      <c r="B277" s="140">
        <v>42849</v>
      </c>
      <c r="C277" s="139" t="s">
        <v>1013</v>
      </c>
      <c r="D277" s="122" t="s">
        <v>1726</v>
      </c>
      <c r="E277" s="122"/>
      <c r="F277" s="141" t="s">
        <v>3228</v>
      </c>
      <c r="G277" s="141" t="s">
        <v>36</v>
      </c>
      <c r="H277" s="137" t="s">
        <v>251</v>
      </c>
      <c r="I277" s="139" t="s">
        <v>65</v>
      </c>
      <c r="J277" s="139" t="s">
        <v>3000</v>
      </c>
      <c r="K277" s="139" t="s">
        <v>227</v>
      </c>
      <c r="L277" s="142">
        <v>42662</v>
      </c>
      <c r="M277" s="139" t="str">
        <f ca="1" t="shared" si="15"/>
        <v>9年3个月</v>
      </c>
      <c r="N277" s="181" t="s">
        <v>3229</v>
      </c>
      <c r="O277" s="139" t="s">
        <v>782</v>
      </c>
      <c r="P277" s="142">
        <v>32402</v>
      </c>
      <c r="Q277" s="143">
        <f ca="1" t="shared" si="17"/>
        <v>37</v>
      </c>
      <c r="R277" s="151" t="s">
        <v>784</v>
      </c>
      <c r="S277" s="139" t="s">
        <v>879</v>
      </c>
      <c r="T277" s="139" t="s">
        <v>1051</v>
      </c>
      <c r="U277" s="139" t="s">
        <v>1199</v>
      </c>
      <c r="V277" s="139" t="s">
        <v>3230</v>
      </c>
      <c r="W277" s="139" t="s">
        <v>1005</v>
      </c>
      <c r="X277" s="139" t="s">
        <v>1006</v>
      </c>
      <c r="Y277" s="139" t="s">
        <v>3231</v>
      </c>
      <c r="Z277" s="139" t="s">
        <v>824</v>
      </c>
      <c r="AA277" s="222">
        <v>40695</v>
      </c>
      <c r="AB277" s="251">
        <v>15967136156</v>
      </c>
      <c r="AC277" s="252" t="s">
        <v>3232</v>
      </c>
      <c r="AD277" s="149" t="s">
        <v>3233</v>
      </c>
      <c r="AE277" s="149" t="s">
        <v>3230</v>
      </c>
      <c r="AF277" s="153" t="s">
        <v>3234</v>
      </c>
      <c r="AG277" s="149" t="s">
        <v>1059</v>
      </c>
      <c r="AH277" s="153">
        <v>15168309835</v>
      </c>
      <c r="AI277" s="149" t="s">
        <v>1060</v>
      </c>
      <c r="AJ277" s="149">
        <v>0</v>
      </c>
      <c r="AK277" s="149" t="s">
        <v>3235</v>
      </c>
      <c r="AL277" s="142">
        <v>42662</v>
      </c>
      <c r="AM277" s="142">
        <f>EDATE(AL277,36)-1</f>
        <v>43756</v>
      </c>
      <c r="AN277" s="148">
        <f ca="1" t="shared" si="18"/>
        <v>-2296</v>
      </c>
      <c r="AO277" s="139"/>
      <c r="AP277" s="139"/>
      <c r="AQ277" s="137"/>
    </row>
    <row r="278" customHeight="1" spans="1:43">
      <c r="A278" s="122">
        <v>277</v>
      </c>
      <c r="B278" s="140">
        <v>42849</v>
      </c>
      <c r="C278" s="139" t="s">
        <v>1013</v>
      </c>
      <c r="D278" s="122" t="s">
        <v>1726</v>
      </c>
      <c r="E278" s="122"/>
      <c r="F278" s="141" t="s">
        <v>3236</v>
      </c>
      <c r="G278" s="141" t="s">
        <v>52</v>
      </c>
      <c r="H278" s="137" t="s">
        <v>133</v>
      </c>
      <c r="I278" s="139" t="s">
        <v>65</v>
      </c>
      <c r="J278" s="139" t="s">
        <v>1071</v>
      </c>
      <c r="K278" s="139" t="s">
        <v>227</v>
      </c>
      <c r="L278" s="142">
        <v>42494</v>
      </c>
      <c r="M278" s="139" t="s">
        <v>2157</v>
      </c>
      <c r="N278" s="181" t="s">
        <v>3237</v>
      </c>
      <c r="O278" s="139" t="s">
        <v>782</v>
      </c>
      <c r="P278" s="142">
        <v>31633</v>
      </c>
      <c r="Q278" s="143">
        <f ca="1" t="shared" si="17"/>
        <v>39</v>
      </c>
      <c r="R278" s="151" t="s">
        <v>1001</v>
      </c>
      <c r="S278" s="139" t="s">
        <v>785</v>
      </c>
      <c r="T278" s="139" t="s">
        <v>1002</v>
      </c>
      <c r="U278" s="139" t="s">
        <v>3238</v>
      </c>
      <c r="V278" s="139" t="s">
        <v>3239</v>
      </c>
      <c r="W278" s="139" t="s">
        <v>1005</v>
      </c>
      <c r="X278" s="139" t="s">
        <v>1006</v>
      </c>
      <c r="Y278" s="139" t="s">
        <v>3240</v>
      </c>
      <c r="Z278" s="139" t="s">
        <v>1150</v>
      </c>
      <c r="AA278" s="222"/>
      <c r="AB278" s="251">
        <v>13588811368</v>
      </c>
      <c r="AC278" s="252" t="s">
        <v>3241</v>
      </c>
      <c r="AD278" s="149" t="s">
        <v>3242</v>
      </c>
      <c r="AE278" s="149" t="s">
        <v>3243</v>
      </c>
      <c r="AF278" s="153" t="s">
        <v>3244</v>
      </c>
      <c r="AG278" s="149" t="s">
        <v>1716</v>
      </c>
      <c r="AH278" s="153">
        <v>18387740922</v>
      </c>
      <c r="AI278" s="149" t="s">
        <v>1060</v>
      </c>
      <c r="AJ278" s="149"/>
      <c r="AK278" s="149"/>
      <c r="AL278" s="142">
        <v>42494</v>
      </c>
      <c r="AM278" s="142">
        <v>43224</v>
      </c>
      <c r="AN278" s="148">
        <f ca="1" t="shared" si="18"/>
        <v>-2828</v>
      </c>
      <c r="AO278" s="139"/>
      <c r="AP278" s="139" t="s">
        <v>3048</v>
      </c>
      <c r="AQ278" s="137" t="s">
        <v>23</v>
      </c>
    </row>
    <row r="279" customHeight="1" spans="1:43">
      <c r="A279" s="122">
        <v>278</v>
      </c>
      <c r="B279" s="140">
        <v>42849</v>
      </c>
      <c r="C279" s="139" t="s">
        <v>1013</v>
      </c>
      <c r="D279" s="122" t="s">
        <v>1726</v>
      </c>
      <c r="E279" s="122"/>
      <c r="F279" s="141" t="s">
        <v>3245</v>
      </c>
      <c r="G279" s="141" t="s">
        <v>52</v>
      </c>
      <c r="H279" s="137" t="s">
        <v>133</v>
      </c>
      <c r="I279" s="139" t="s">
        <v>65</v>
      </c>
      <c r="J279" s="139" t="s">
        <v>3000</v>
      </c>
      <c r="K279" s="139" t="s">
        <v>227</v>
      </c>
      <c r="L279" s="142">
        <v>42501</v>
      </c>
      <c r="M279" s="139" t="str">
        <f ca="1" t="shared" ref="M279:M290" si="19">IF(L279="","",DATEDIF(L279,NOW(),"Y")&amp;"年"&amp;MOD(DATEDIF(L279,NOW(),"M"),12)&amp;"个月")</f>
        <v>9年8个月</v>
      </c>
      <c r="N279" s="181" t="s">
        <v>3246</v>
      </c>
      <c r="O279" s="139" t="s">
        <v>782</v>
      </c>
      <c r="P279" s="142">
        <v>31786</v>
      </c>
      <c r="Q279" s="143">
        <f ca="1" t="shared" si="17"/>
        <v>39</v>
      </c>
      <c r="R279" s="151" t="s">
        <v>1001</v>
      </c>
      <c r="S279" s="139" t="s">
        <v>785</v>
      </c>
      <c r="T279" s="139" t="s">
        <v>1002</v>
      </c>
      <c r="U279" s="139" t="s">
        <v>1464</v>
      </c>
      <c r="V279" s="139" t="s">
        <v>3247</v>
      </c>
      <c r="W279" s="139" t="s">
        <v>1054</v>
      </c>
      <c r="X279" s="139" t="s">
        <v>974</v>
      </c>
      <c r="Y279" s="139" t="s">
        <v>3248</v>
      </c>
      <c r="Z279" s="139" t="s">
        <v>2727</v>
      </c>
      <c r="AA279" s="222"/>
      <c r="AB279" s="251">
        <v>15669908969</v>
      </c>
      <c r="AC279" s="252" t="s">
        <v>3249</v>
      </c>
      <c r="AD279" s="149" t="s">
        <v>3250</v>
      </c>
      <c r="AE279" s="149" t="s">
        <v>3251</v>
      </c>
      <c r="AF279" s="153" t="s">
        <v>3252</v>
      </c>
      <c r="AG279" s="149" t="s">
        <v>1974</v>
      </c>
      <c r="AH279" s="153">
        <v>18969189965</v>
      </c>
      <c r="AI279" s="149" t="s">
        <v>1060</v>
      </c>
      <c r="AJ279" s="149"/>
      <c r="AK279" s="149"/>
      <c r="AL279" s="142">
        <v>42501</v>
      </c>
      <c r="AM279" s="142">
        <v>43231</v>
      </c>
      <c r="AN279" s="148">
        <f ca="1" t="shared" si="18"/>
        <v>-2821</v>
      </c>
      <c r="AO279" s="139"/>
      <c r="AP279" s="139" t="s">
        <v>3048</v>
      </c>
      <c r="AQ279" s="137" t="s">
        <v>23</v>
      </c>
    </row>
    <row r="280" customHeight="1" spans="1:43">
      <c r="A280" s="122">
        <v>279</v>
      </c>
      <c r="B280" s="140">
        <v>42849</v>
      </c>
      <c r="C280" s="139" t="s">
        <v>1013</v>
      </c>
      <c r="D280" s="122" t="s">
        <v>1726</v>
      </c>
      <c r="E280" s="122"/>
      <c r="F280" s="141" t="s">
        <v>3253</v>
      </c>
      <c r="G280" s="141" t="s">
        <v>36</v>
      </c>
      <c r="H280" s="137" t="s">
        <v>3254</v>
      </c>
      <c r="I280" s="139" t="s">
        <v>273</v>
      </c>
      <c r="J280" s="139" t="s">
        <v>3000</v>
      </c>
      <c r="K280" s="139" t="s">
        <v>227</v>
      </c>
      <c r="L280" s="142">
        <v>42599</v>
      </c>
      <c r="M280" s="139" t="str">
        <f ca="1" t="shared" si="19"/>
        <v>9年5个月</v>
      </c>
      <c r="N280" s="181" t="s">
        <v>3255</v>
      </c>
      <c r="O280" s="139" t="s">
        <v>782</v>
      </c>
      <c r="P280" s="142">
        <v>32597</v>
      </c>
      <c r="Q280" s="143">
        <f ca="1" t="shared" si="17"/>
        <v>36</v>
      </c>
      <c r="R280" s="151" t="s">
        <v>1001</v>
      </c>
      <c r="S280" s="139" t="s">
        <v>785</v>
      </c>
      <c r="T280" s="139" t="s">
        <v>1002</v>
      </c>
      <c r="U280" s="139" t="s">
        <v>1388</v>
      </c>
      <c r="V280" s="139" t="s">
        <v>3256</v>
      </c>
      <c r="W280" s="139" t="s">
        <v>1005</v>
      </c>
      <c r="X280" s="139" t="s">
        <v>1006</v>
      </c>
      <c r="Y280" s="139" t="s">
        <v>1380</v>
      </c>
      <c r="Z280" s="139" t="s">
        <v>3212</v>
      </c>
      <c r="AA280" s="222">
        <v>41061</v>
      </c>
      <c r="AB280" s="251">
        <v>15158114433</v>
      </c>
      <c r="AC280" s="252" t="s">
        <v>3257</v>
      </c>
      <c r="AD280" s="149" t="s">
        <v>3258</v>
      </c>
      <c r="AE280" s="149" t="s">
        <v>3259</v>
      </c>
      <c r="AF280" s="153" t="s">
        <v>3260</v>
      </c>
      <c r="AG280" s="149" t="s">
        <v>1046</v>
      </c>
      <c r="AH280" s="153">
        <v>13655782665</v>
      </c>
      <c r="AI280" s="149" t="s">
        <v>1060</v>
      </c>
      <c r="AJ280" s="149"/>
      <c r="AK280" s="149" t="s">
        <v>3261</v>
      </c>
      <c r="AL280" s="142">
        <v>42601</v>
      </c>
      <c r="AM280" s="142">
        <v>43695</v>
      </c>
      <c r="AN280" s="148">
        <f ca="1" t="shared" si="18"/>
        <v>-2357</v>
      </c>
      <c r="AO280" s="139"/>
      <c r="AP280" s="139" t="s">
        <v>3262</v>
      </c>
      <c r="AQ280" s="137" t="s">
        <v>23</v>
      </c>
    </row>
    <row r="281" customHeight="1" spans="1:43">
      <c r="A281" s="122">
        <v>280</v>
      </c>
      <c r="B281" s="140">
        <v>42849</v>
      </c>
      <c r="C281" s="139" t="s">
        <v>1013</v>
      </c>
      <c r="D281" s="122" t="s">
        <v>1726</v>
      </c>
      <c r="E281" s="122"/>
      <c r="F281" s="141" t="s">
        <v>3263</v>
      </c>
      <c r="G281" s="141" t="s">
        <v>36</v>
      </c>
      <c r="H281" s="137" t="s">
        <v>3254</v>
      </c>
      <c r="I281" s="139" t="s">
        <v>459</v>
      </c>
      <c r="J281" s="139" t="s">
        <v>3000</v>
      </c>
      <c r="K281" s="139" t="s">
        <v>227</v>
      </c>
      <c r="L281" s="142">
        <v>42613</v>
      </c>
      <c r="M281" s="139" t="str">
        <f ca="1" t="shared" si="19"/>
        <v>9年4个月</v>
      </c>
      <c r="N281" s="181" t="s">
        <v>3264</v>
      </c>
      <c r="O281" s="139" t="s">
        <v>782</v>
      </c>
      <c r="P281" s="142">
        <v>31999</v>
      </c>
      <c r="Q281" s="143">
        <f ca="1" t="shared" si="17"/>
        <v>38</v>
      </c>
      <c r="R281" s="151" t="s">
        <v>1001</v>
      </c>
      <c r="S281" s="139" t="s">
        <v>879</v>
      </c>
      <c r="T281" s="139" t="s">
        <v>1002</v>
      </c>
      <c r="U281" s="139" t="s">
        <v>1465</v>
      </c>
      <c r="V281" s="139" t="s">
        <v>3265</v>
      </c>
      <c r="W281" s="139" t="s">
        <v>1005</v>
      </c>
      <c r="X281" s="139" t="s">
        <v>974</v>
      </c>
      <c r="Y281" s="139" t="s">
        <v>1380</v>
      </c>
      <c r="Z281" s="139" t="s">
        <v>2631</v>
      </c>
      <c r="AA281" s="222">
        <v>42522</v>
      </c>
      <c r="AB281" s="251">
        <v>13429661960</v>
      </c>
      <c r="AC281" s="252" t="s">
        <v>3266</v>
      </c>
      <c r="AD281" s="149" t="s">
        <v>3267</v>
      </c>
      <c r="AE281" s="149" t="s">
        <v>3268</v>
      </c>
      <c r="AF281" s="153" t="s">
        <v>3269</v>
      </c>
      <c r="AG281" s="149" t="s">
        <v>1936</v>
      </c>
      <c r="AH281" s="153">
        <v>13567588685</v>
      </c>
      <c r="AI281" s="149" t="s">
        <v>1035</v>
      </c>
      <c r="AJ281" s="149" t="s">
        <v>2285</v>
      </c>
      <c r="AK281" s="149" t="s">
        <v>3206</v>
      </c>
      <c r="AL281" s="142">
        <v>42613</v>
      </c>
      <c r="AM281" s="142">
        <v>43709</v>
      </c>
      <c r="AN281" s="148">
        <v>1096</v>
      </c>
      <c r="AO281" s="139"/>
      <c r="AP281" s="139"/>
      <c r="AQ281" s="137" t="s">
        <v>23</v>
      </c>
    </row>
    <row r="282" customHeight="1" spans="1:43">
      <c r="A282" s="122">
        <v>281</v>
      </c>
      <c r="B282" s="140">
        <v>42851</v>
      </c>
      <c r="C282" s="139" t="s">
        <v>1013</v>
      </c>
      <c r="D282" s="122" t="s">
        <v>1726</v>
      </c>
      <c r="E282" s="122"/>
      <c r="F282" s="141" t="s">
        <v>3123</v>
      </c>
      <c r="G282" s="141" t="s">
        <v>36</v>
      </c>
      <c r="H282" s="137" t="s">
        <v>251</v>
      </c>
      <c r="I282" s="139" t="s">
        <v>56</v>
      </c>
      <c r="J282" s="139" t="s">
        <v>3000</v>
      </c>
      <c r="K282" s="139" t="s">
        <v>227</v>
      </c>
      <c r="L282" s="142">
        <v>42226</v>
      </c>
      <c r="M282" s="139" t="str">
        <f ca="1" t="shared" si="19"/>
        <v>10年5个月</v>
      </c>
      <c r="N282" s="181" t="s">
        <v>3270</v>
      </c>
      <c r="O282" s="139" t="s">
        <v>782</v>
      </c>
      <c r="P282" s="142">
        <v>33144</v>
      </c>
      <c r="Q282" s="143">
        <f ca="1" t="shared" si="17"/>
        <v>35</v>
      </c>
      <c r="R282" s="151" t="s">
        <v>1001</v>
      </c>
      <c r="S282" s="139" t="s">
        <v>785</v>
      </c>
      <c r="T282" s="139" t="s">
        <v>1002</v>
      </c>
      <c r="U282" s="139" t="s">
        <v>3271</v>
      </c>
      <c r="V282" s="139" t="s">
        <v>3272</v>
      </c>
      <c r="W282" s="139" t="s">
        <v>1005</v>
      </c>
      <c r="X282" s="139" t="s">
        <v>1006</v>
      </c>
      <c r="Y282" s="139" t="s">
        <v>3120</v>
      </c>
      <c r="Z282" s="139" t="s">
        <v>1226</v>
      </c>
      <c r="AA282" s="222">
        <v>41061</v>
      </c>
      <c r="AB282" s="251">
        <v>15658000883</v>
      </c>
      <c r="AC282" s="252" t="s">
        <v>3273</v>
      </c>
      <c r="AD282" s="149" t="s">
        <v>3274</v>
      </c>
      <c r="AE282" s="149" t="s">
        <v>3272</v>
      </c>
      <c r="AF282" s="153">
        <v>0</v>
      </c>
      <c r="AG282" s="149">
        <v>0</v>
      </c>
      <c r="AH282" s="153">
        <v>0</v>
      </c>
      <c r="AI282" s="149" t="s">
        <v>1035</v>
      </c>
      <c r="AJ282" s="149" t="s">
        <v>3107</v>
      </c>
      <c r="AK282" s="149"/>
      <c r="AL282" s="142">
        <v>42309</v>
      </c>
      <c r="AM282" s="142">
        <v>43039</v>
      </c>
      <c r="AN282" s="148">
        <f ca="1">ROUND(AM282-NOW(),0)</f>
        <v>-3013</v>
      </c>
      <c r="AO282" s="139"/>
      <c r="AP282" s="139"/>
      <c r="AQ282" s="137" t="s">
        <v>23</v>
      </c>
    </row>
    <row r="283" customHeight="1" spans="1:43">
      <c r="A283" s="122">
        <v>282</v>
      </c>
      <c r="B283" s="140">
        <v>42851</v>
      </c>
      <c r="C283" s="139" t="s">
        <v>1013</v>
      </c>
      <c r="D283" s="122" t="s">
        <v>1726</v>
      </c>
      <c r="E283" s="122"/>
      <c r="F283" s="141" t="s">
        <v>3275</v>
      </c>
      <c r="G283" s="141" t="s">
        <v>36</v>
      </c>
      <c r="H283" s="137" t="s">
        <v>3254</v>
      </c>
      <c r="I283" s="139" t="s">
        <v>153</v>
      </c>
      <c r="J283" s="139" t="s">
        <v>3000</v>
      </c>
      <c r="K283" s="139" t="s">
        <v>227</v>
      </c>
      <c r="L283" s="142">
        <v>42678</v>
      </c>
      <c r="M283" s="139" t="str">
        <f ca="1" t="shared" si="19"/>
        <v>9年2个月</v>
      </c>
      <c r="N283" s="181" t="s">
        <v>3276</v>
      </c>
      <c r="O283" s="139" t="s">
        <v>782</v>
      </c>
      <c r="P283" s="142">
        <v>33145</v>
      </c>
      <c r="Q283" s="143">
        <f ca="1" t="shared" si="17"/>
        <v>35</v>
      </c>
      <c r="R283" s="151" t="s">
        <v>784</v>
      </c>
      <c r="S283" s="139" t="s">
        <v>785</v>
      </c>
      <c r="T283" s="139" t="s">
        <v>1002</v>
      </c>
      <c r="U283" s="139" t="s">
        <v>1264</v>
      </c>
      <c r="V283" s="139" t="s">
        <v>3277</v>
      </c>
      <c r="W283" s="139" t="s">
        <v>1005</v>
      </c>
      <c r="X283" s="139" t="s">
        <v>1006</v>
      </c>
      <c r="Y283" s="139" t="s">
        <v>3278</v>
      </c>
      <c r="Z283" s="139" t="s">
        <v>1232</v>
      </c>
      <c r="AA283" s="222">
        <v>41456</v>
      </c>
      <c r="AB283" s="251">
        <v>15606816929</v>
      </c>
      <c r="AC283" s="252" t="s">
        <v>3279</v>
      </c>
      <c r="AD283" s="149" t="s">
        <v>3280</v>
      </c>
      <c r="AE283" s="149" t="s">
        <v>3281</v>
      </c>
      <c r="AF283" s="153" t="s">
        <v>3282</v>
      </c>
      <c r="AG283" s="149" t="s">
        <v>1011</v>
      </c>
      <c r="AH283" s="153">
        <v>13575752065</v>
      </c>
      <c r="AI283" s="149" t="s">
        <v>1060</v>
      </c>
      <c r="AJ283" s="149">
        <v>0</v>
      </c>
      <c r="AK283" s="149" t="s">
        <v>3283</v>
      </c>
      <c r="AL283" s="142">
        <v>42678</v>
      </c>
      <c r="AM283" s="142">
        <f>EDATE(AL283,36)-1</f>
        <v>43772</v>
      </c>
      <c r="AN283" s="148">
        <f ca="1">ROUND(AM283-NOW(),0)</f>
        <v>-2280</v>
      </c>
      <c r="AO283" s="139"/>
      <c r="AP283" s="139"/>
      <c r="AQ283" s="137"/>
    </row>
    <row r="284" customHeight="1" spans="1:43">
      <c r="A284" s="122">
        <v>283</v>
      </c>
      <c r="B284" s="140">
        <v>42851</v>
      </c>
      <c r="C284" s="139" t="s">
        <v>1013</v>
      </c>
      <c r="D284" s="122" t="s">
        <v>1726</v>
      </c>
      <c r="E284" s="122"/>
      <c r="F284" s="141" t="s">
        <v>3284</v>
      </c>
      <c r="G284" s="141" t="s">
        <v>36</v>
      </c>
      <c r="H284" s="137" t="s">
        <v>3254</v>
      </c>
      <c r="I284" s="139" t="s">
        <v>459</v>
      </c>
      <c r="J284" s="139" t="s">
        <v>3000</v>
      </c>
      <c r="K284" s="139" t="s">
        <v>227</v>
      </c>
      <c r="L284" s="142">
        <v>42774</v>
      </c>
      <c r="M284" s="139" t="str">
        <f ca="1" t="shared" si="19"/>
        <v>8年11个月</v>
      </c>
      <c r="N284" s="181" t="s">
        <v>3285</v>
      </c>
      <c r="O284" s="139" t="s">
        <v>782</v>
      </c>
      <c r="P284" s="142">
        <v>31863</v>
      </c>
      <c r="Q284" s="143">
        <f ca="1" t="shared" si="17"/>
        <v>38</v>
      </c>
      <c r="R284" s="151" t="s">
        <v>1001</v>
      </c>
      <c r="S284" s="139" t="s">
        <v>879</v>
      </c>
      <c r="T284" s="139" t="s">
        <v>1051</v>
      </c>
      <c r="U284" s="139" t="s">
        <v>3286</v>
      </c>
      <c r="V284" s="139" t="s">
        <v>3287</v>
      </c>
      <c r="W284" s="139" t="s">
        <v>1005</v>
      </c>
      <c r="X284" s="139" t="s">
        <v>1006</v>
      </c>
      <c r="Y284" s="139" t="s">
        <v>3288</v>
      </c>
      <c r="Z284" s="139" t="s">
        <v>824</v>
      </c>
      <c r="AA284" s="222">
        <v>39264</v>
      </c>
      <c r="AB284" s="251">
        <v>15000221781</v>
      </c>
      <c r="AC284" s="252" t="s">
        <v>3289</v>
      </c>
      <c r="AD284" s="149" t="s">
        <v>3290</v>
      </c>
      <c r="AE284" s="149" t="s">
        <v>3291</v>
      </c>
      <c r="AF284" s="153" t="s">
        <v>3292</v>
      </c>
      <c r="AG284" s="149" t="s">
        <v>1528</v>
      </c>
      <c r="AH284" s="153">
        <v>13671595251</v>
      </c>
      <c r="AI284" s="149" t="s">
        <v>1604</v>
      </c>
      <c r="AJ284" s="149" t="s">
        <v>3293</v>
      </c>
      <c r="AK284" s="149" t="s">
        <v>3294</v>
      </c>
      <c r="AL284" s="142">
        <v>42774</v>
      </c>
      <c r="AM284" s="142">
        <f>EDATE(AL284,36)</f>
        <v>43869</v>
      </c>
      <c r="AN284" s="148"/>
      <c r="AO284" s="139"/>
      <c r="AP284" s="139"/>
      <c r="AQ284" s="137"/>
    </row>
    <row r="285" customHeight="1" spans="1:43">
      <c r="A285" s="122">
        <v>284</v>
      </c>
      <c r="B285" s="140">
        <v>42851</v>
      </c>
      <c r="C285" s="139" t="s">
        <v>1013</v>
      </c>
      <c r="D285" s="122" t="s">
        <v>1726</v>
      </c>
      <c r="E285" s="122"/>
      <c r="F285" s="141" t="s">
        <v>3295</v>
      </c>
      <c r="G285" s="141" t="s">
        <v>36</v>
      </c>
      <c r="H285" s="137" t="s">
        <v>3254</v>
      </c>
      <c r="I285" s="139" t="s">
        <v>153</v>
      </c>
      <c r="J285" s="139" t="s">
        <v>3000</v>
      </c>
      <c r="K285" s="139" t="s">
        <v>227</v>
      </c>
      <c r="L285" s="142">
        <v>42740</v>
      </c>
      <c r="M285" s="139" t="str">
        <f ca="1" t="shared" si="19"/>
        <v>9年0个月</v>
      </c>
      <c r="N285" s="181" t="s">
        <v>3296</v>
      </c>
      <c r="O285" s="139" t="s">
        <v>782</v>
      </c>
      <c r="P285" s="142">
        <v>33188</v>
      </c>
      <c r="Q285" s="143">
        <f ca="1" t="shared" si="17"/>
        <v>35</v>
      </c>
      <c r="R285" s="151" t="s">
        <v>784</v>
      </c>
      <c r="S285" s="139" t="s">
        <v>785</v>
      </c>
      <c r="T285" s="139" t="s">
        <v>1002</v>
      </c>
      <c r="U285" s="139" t="s">
        <v>227</v>
      </c>
      <c r="V285" s="139">
        <v>0</v>
      </c>
      <c r="W285" s="139">
        <v>0</v>
      </c>
      <c r="X285" s="139" t="s">
        <v>1006</v>
      </c>
      <c r="Y285" s="139" t="s">
        <v>1390</v>
      </c>
      <c r="Z285" s="139" t="s">
        <v>3297</v>
      </c>
      <c r="AA285" s="222">
        <v>41426</v>
      </c>
      <c r="AB285" s="251">
        <v>15558120232</v>
      </c>
      <c r="AC285" s="252" t="s">
        <v>3298</v>
      </c>
      <c r="AD285" s="149" t="s">
        <v>3299</v>
      </c>
      <c r="AE285" s="149" t="s">
        <v>3300</v>
      </c>
      <c r="AF285" s="153" t="s">
        <v>3301</v>
      </c>
      <c r="AG285" s="149" t="s">
        <v>1097</v>
      </c>
      <c r="AH285" s="153">
        <v>13968133227</v>
      </c>
      <c r="AI285" s="149" t="s">
        <v>1604</v>
      </c>
      <c r="AJ285" s="149" t="s">
        <v>3217</v>
      </c>
      <c r="AK285" s="149" t="s">
        <v>3302</v>
      </c>
      <c r="AL285" s="142">
        <v>42740</v>
      </c>
      <c r="AM285" s="142">
        <f>EDATE(AL285,36)</f>
        <v>43835</v>
      </c>
      <c r="AN285" s="148">
        <f ca="1">ROUND(AM285-NOW(),0)</f>
        <v>-2217</v>
      </c>
      <c r="AO285" s="139"/>
      <c r="AP285" s="139"/>
      <c r="AQ285" s="137"/>
    </row>
    <row r="286" customHeight="1" spans="1:43">
      <c r="A286" s="122">
        <v>285</v>
      </c>
      <c r="B286" s="140">
        <v>42853</v>
      </c>
      <c r="C286" s="139" t="s">
        <v>1026</v>
      </c>
      <c r="D286" s="122" t="s">
        <v>1726</v>
      </c>
      <c r="E286" s="122"/>
      <c r="F286" s="141" t="s">
        <v>3303</v>
      </c>
      <c r="G286" s="141" t="s">
        <v>36</v>
      </c>
      <c r="H286" s="137" t="s">
        <v>251</v>
      </c>
      <c r="I286" s="139" t="s">
        <v>252</v>
      </c>
      <c r="J286" s="139" t="s">
        <v>1071</v>
      </c>
      <c r="K286" s="139" t="s">
        <v>227</v>
      </c>
      <c r="L286" s="142">
        <v>42786</v>
      </c>
      <c r="M286" s="139" t="str">
        <f ca="1" t="shared" si="19"/>
        <v>8年11个月</v>
      </c>
      <c r="N286" s="181" t="s">
        <v>3304</v>
      </c>
      <c r="O286" s="139" t="s">
        <v>782</v>
      </c>
      <c r="P286" s="142">
        <v>29316</v>
      </c>
      <c r="Q286" s="143">
        <f ca="1" t="shared" si="17"/>
        <v>45</v>
      </c>
      <c r="R286" s="151" t="s">
        <v>1001</v>
      </c>
      <c r="S286" s="139" t="s">
        <v>879</v>
      </c>
      <c r="T286" s="139" t="s">
        <v>1051</v>
      </c>
      <c r="U286" s="139" t="s">
        <v>1297</v>
      </c>
      <c r="V286" s="139" t="s">
        <v>3305</v>
      </c>
      <c r="W286" s="139" t="s">
        <v>1005</v>
      </c>
      <c r="X286" s="139" t="s">
        <v>1006</v>
      </c>
      <c r="Y286" s="139" t="s">
        <v>1910</v>
      </c>
      <c r="Z286" s="139" t="s">
        <v>824</v>
      </c>
      <c r="AA286" s="222">
        <v>37802</v>
      </c>
      <c r="AB286" s="251">
        <v>18658185855</v>
      </c>
      <c r="AC286" s="252" t="s">
        <v>3306</v>
      </c>
      <c r="AD286" s="149" t="s">
        <v>3307</v>
      </c>
      <c r="AE286" s="149" t="s">
        <v>3308</v>
      </c>
      <c r="AF286" s="153" t="s">
        <v>3309</v>
      </c>
      <c r="AG286" s="149" t="s">
        <v>1167</v>
      </c>
      <c r="AH286" s="153">
        <v>18606516600</v>
      </c>
      <c r="AI286" s="149" t="s">
        <v>1087</v>
      </c>
      <c r="AJ286" s="149" t="s">
        <v>3310</v>
      </c>
      <c r="AK286" s="149" t="s">
        <v>3311</v>
      </c>
      <c r="AL286" s="142">
        <v>42786</v>
      </c>
      <c r="AM286" s="142">
        <f>EDATE(AL286,36)</f>
        <v>43881</v>
      </c>
      <c r="AN286" s="148"/>
      <c r="AO286" s="139"/>
      <c r="AP286" s="139"/>
      <c r="AQ286" s="137"/>
    </row>
    <row r="287" customHeight="1" spans="1:43">
      <c r="A287" s="122">
        <v>286</v>
      </c>
      <c r="B287" s="140">
        <v>42853</v>
      </c>
      <c r="C287" s="139" t="s">
        <v>1026</v>
      </c>
      <c r="D287" s="122" t="s">
        <v>1726</v>
      </c>
      <c r="E287" s="122"/>
      <c r="F287" s="141" t="s">
        <v>3312</v>
      </c>
      <c r="G287" s="141" t="s">
        <v>36</v>
      </c>
      <c r="H287" s="137" t="s">
        <v>251</v>
      </c>
      <c r="I287" s="139" t="s">
        <v>252</v>
      </c>
      <c r="J287" s="139" t="s">
        <v>3000</v>
      </c>
      <c r="K287" s="139" t="s">
        <v>227</v>
      </c>
      <c r="L287" s="142">
        <v>42793</v>
      </c>
      <c r="M287" s="139" t="str">
        <f ca="1" t="shared" si="19"/>
        <v>8年11个月</v>
      </c>
      <c r="N287" s="181" t="s">
        <v>3313</v>
      </c>
      <c r="O287" s="139" t="s">
        <v>782</v>
      </c>
      <c r="P287" s="142">
        <v>30309</v>
      </c>
      <c r="Q287" s="143">
        <f ca="1" t="shared" si="17"/>
        <v>43</v>
      </c>
      <c r="R287" s="151" t="s">
        <v>1001</v>
      </c>
      <c r="S287" s="139" t="s">
        <v>879</v>
      </c>
      <c r="T287" s="139" t="s">
        <v>1275</v>
      </c>
      <c r="U287" s="139" t="s">
        <v>2774</v>
      </c>
      <c r="V287" s="139" t="s">
        <v>3314</v>
      </c>
      <c r="W287" s="139" t="s">
        <v>1005</v>
      </c>
      <c r="X287" s="139" t="s">
        <v>974</v>
      </c>
      <c r="Y287" s="139" t="s">
        <v>1162</v>
      </c>
      <c r="Z287" s="139" t="s">
        <v>2091</v>
      </c>
      <c r="AA287" s="222">
        <v>39234</v>
      </c>
      <c r="AB287" s="251">
        <v>18668035182</v>
      </c>
      <c r="AC287" s="252" t="s">
        <v>3315</v>
      </c>
      <c r="AD287" s="149" t="s">
        <v>3316</v>
      </c>
      <c r="AE287" s="149" t="s">
        <v>3314</v>
      </c>
      <c r="AF287" s="153" t="s">
        <v>3317</v>
      </c>
      <c r="AG287" s="149" t="s">
        <v>1167</v>
      </c>
      <c r="AH287" s="153">
        <v>15356128215</v>
      </c>
      <c r="AI287" s="149" t="s">
        <v>1604</v>
      </c>
      <c r="AJ287" s="149" t="s">
        <v>3318</v>
      </c>
      <c r="AK287" s="149" t="s">
        <v>3319</v>
      </c>
      <c r="AL287" s="142">
        <v>42793</v>
      </c>
      <c r="AM287" s="142">
        <f>EDATE(AL287,36)</f>
        <v>43888</v>
      </c>
      <c r="AN287" s="148"/>
      <c r="AO287" s="139"/>
      <c r="AP287" s="139"/>
      <c r="AQ287" s="137"/>
    </row>
    <row r="288" customHeight="1" spans="1:43">
      <c r="A288" s="122">
        <v>287</v>
      </c>
      <c r="B288" s="140">
        <v>42853</v>
      </c>
      <c r="C288" s="139" t="s">
        <v>1013</v>
      </c>
      <c r="D288" s="122" t="s">
        <v>1726</v>
      </c>
      <c r="E288" s="122"/>
      <c r="F288" s="141" t="s">
        <v>3320</v>
      </c>
      <c r="G288" s="141" t="s">
        <v>3321</v>
      </c>
      <c r="H288" s="137" t="s">
        <v>3321</v>
      </c>
      <c r="I288" s="139" t="s">
        <v>513</v>
      </c>
      <c r="J288" s="139" t="s">
        <v>3013</v>
      </c>
      <c r="K288" s="139" t="s">
        <v>227</v>
      </c>
      <c r="L288" s="142">
        <v>42200</v>
      </c>
      <c r="M288" s="139" t="str">
        <f ca="1" t="shared" si="19"/>
        <v>10年6个月</v>
      </c>
      <c r="N288" s="181" t="s">
        <v>3322</v>
      </c>
      <c r="O288" s="139" t="s">
        <v>782</v>
      </c>
      <c r="P288" s="142">
        <v>29655</v>
      </c>
      <c r="Q288" s="143">
        <f ca="1" t="shared" si="17"/>
        <v>44</v>
      </c>
      <c r="R288" s="151" t="s">
        <v>1001</v>
      </c>
      <c r="S288" s="139" t="s">
        <v>879</v>
      </c>
      <c r="T288" s="139" t="s">
        <v>1002</v>
      </c>
      <c r="U288" s="139" t="s">
        <v>3323</v>
      </c>
      <c r="V288" s="139" t="s">
        <v>2161</v>
      </c>
      <c r="W288" s="139" t="s">
        <v>1005</v>
      </c>
      <c r="X288" s="139" t="s">
        <v>1006</v>
      </c>
      <c r="Y288" s="139" t="s">
        <v>3324</v>
      </c>
      <c r="Z288" s="139" t="s">
        <v>1258</v>
      </c>
      <c r="AA288" s="222">
        <v>38169</v>
      </c>
      <c r="AB288" s="251">
        <v>15268505853</v>
      </c>
      <c r="AC288" s="252" t="s">
        <v>3325</v>
      </c>
      <c r="AD288" s="149" t="s">
        <v>3326</v>
      </c>
      <c r="AE288" s="149" t="s">
        <v>3327</v>
      </c>
      <c r="AF288" s="153" t="s">
        <v>3328</v>
      </c>
      <c r="AG288" s="149" t="s">
        <v>1167</v>
      </c>
      <c r="AH288" s="153">
        <v>15869047529</v>
      </c>
      <c r="AI288" s="149" t="s">
        <v>1060</v>
      </c>
      <c r="AJ288" s="149"/>
      <c r="AK288" s="149"/>
      <c r="AL288" s="142">
        <v>42200</v>
      </c>
      <c r="AM288" s="142">
        <v>43295</v>
      </c>
      <c r="AN288" s="148">
        <v>1051</v>
      </c>
      <c r="AO288" s="139"/>
      <c r="AP288" s="139"/>
      <c r="AQ288" s="137" t="s">
        <v>23</v>
      </c>
    </row>
    <row r="289" customHeight="1" spans="1:43">
      <c r="A289" s="122">
        <v>288</v>
      </c>
      <c r="B289" s="140">
        <v>42853</v>
      </c>
      <c r="C289" s="139" t="s">
        <v>1026</v>
      </c>
      <c r="D289" s="122" t="s">
        <v>1726</v>
      </c>
      <c r="E289" s="122"/>
      <c r="F289" s="141" t="s">
        <v>3329</v>
      </c>
      <c r="G289" s="141" t="s">
        <v>61</v>
      </c>
      <c r="H289" s="137" t="s">
        <v>62</v>
      </c>
      <c r="I289" s="139" t="s">
        <v>63</v>
      </c>
      <c r="J289" s="139" t="s">
        <v>3013</v>
      </c>
      <c r="K289" s="139" t="s">
        <v>227</v>
      </c>
      <c r="L289" s="142">
        <v>42631</v>
      </c>
      <c r="M289" s="139" t="str">
        <f ca="1" t="shared" si="19"/>
        <v>9年4个月</v>
      </c>
      <c r="N289" s="181" t="s">
        <v>3330</v>
      </c>
      <c r="O289" s="139" t="s">
        <v>782</v>
      </c>
      <c r="P289" s="142">
        <v>30979</v>
      </c>
      <c r="Q289" s="143">
        <f ca="1" t="shared" si="17"/>
        <v>41</v>
      </c>
      <c r="R289" s="151" t="s">
        <v>1001</v>
      </c>
      <c r="S289" s="139" t="s">
        <v>785</v>
      </c>
      <c r="T289" s="139" t="s">
        <v>1002</v>
      </c>
      <c r="U289" s="139" t="s">
        <v>3331</v>
      </c>
      <c r="V289" s="139" t="s">
        <v>3332</v>
      </c>
      <c r="W289" s="139" t="s">
        <v>1005</v>
      </c>
      <c r="X289" s="139" t="s">
        <v>1006</v>
      </c>
      <c r="Y289" s="139" t="s">
        <v>2068</v>
      </c>
      <c r="Z289" s="139" t="s">
        <v>2069</v>
      </c>
      <c r="AA289" s="222">
        <v>39600</v>
      </c>
      <c r="AB289" s="251">
        <v>18668563011</v>
      </c>
      <c r="AC289" s="252" t="s">
        <v>3333</v>
      </c>
      <c r="AD289" s="149" t="s">
        <v>3334</v>
      </c>
      <c r="AE289" s="149" t="s">
        <v>3335</v>
      </c>
      <c r="AF289" s="153" t="s">
        <v>3336</v>
      </c>
      <c r="AG289" s="149" t="s">
        <v>1125</v>
      </c>
      <c r="AH289" s="153">
        <v>13757447929</v>
      </c>
      <c r="AI289" s="149" t="s">
        <v>1035</v>
      </c>
      <c r="AJ289" s="149" t="s">
        <v>379</v>
      </c>
      <c r="AK289" s="149" t="s">
        <v>3337</v>
      </c>
      <c r="AL289" s="142">
        <v>42631</v>
      </c>
      <c r="AM289" s="142">
        <f>EDATE(AL289,36)-1</f>
        <v>43725</v>
      </c>
      <c r="AN289" s="148">
        <f ca="1">ROUND(AM289-NOW(),0)</f>
        <v>-2327</v>
      </c>
      <c r="AO289" s="139"/>
      <c r="AP289" s="139"/>
      <c r="AQ289" s="137"/>
    </row>
    <row r="290" customHeight="1" spans="1:43">
      <c r="A290" s="122">
        <v>289</v>
      </c>
      <c r="B290" s="140">
        <v>42853</v>
      </c>
      <c r="C290" s="139" t="s">
        <v>1013</v>
      </c>
      <c r="D290" s="122" t="s">
        <v>1726</v>
      </c>
      <c r="E290" s="122"/>
      <c r="F290" s="141" t="s">
        <v>3338</v>
      </c>
      <c r="G290" s="141" t="s">
        <v>36</v>
      </c>
      <c r="H290" s="137" t="s">
        <v>3254</v>
      </c>
      <c r="I290" s="139" t="s">
        <v>276</v>
      </c>
      <c r="J290" s="139" t="s">
        <v>3000</v>
      </c>
      <c r="K290" s="139" t="s">
        <v>227</v>
      </c>
      <c r="L290" s="142">
        <v>42702</v>
      </c>
      <c r="M290" s="139" t="str">
        <f ca="1" t="shared" si="19"/>
        <v>9年2个月</v>
      </c>
      <c r="N290" s="181" t="s">
        <v>3339</v>
      </c>
      <c r="O290" s="139" t="s">
        <v>782</v>
      </c>
      <c r="P290" s="142">
        <v>30235</v>
      </c>
      <c r="Q290" s="143">
        <f ca="1" t="shared" si="17"/>
        <v>43</v>
      </c>
      <c r="R290" s="151" t="s">
        <v>784</v>
      </c>
      <c r="S290" s="139" t="s">
        <v>879</v>
      </c>
      <c r="T290" s="139" t="s">
        <v>1275</v>
      </c>
      <c r="U290" s="139" t="s">
        <v>3340</v>
      </c>
      <c r="V290" s="139" t="s">
        <v>3341</v>
      </c>
      <c r="W290" s="139" t="s">
        <v>1005</v>
      </c>
      <c r="X290" s="139" t="s">
        <v>1006</v>
      </c>
      <c r="Y290" s="139" t="s">
        <v>3342</v>
      </c>
      <c r="Z290" s="139" t="s">
        <v>3343</v>
      </c>
      <c r="AA290" s="222">
        <v>38504</v>
      </c>
      <c r="AB290" s="251" t="s">
        <v>3344</v>
      </c>
      <c r="AC290" s="252" t="s">
        <v>3345</v>
      </c>
      <c r="AD290" s="149" t="s">
        <v>3346</v>
      </c>
      <c r="AE290" s="149" t="s">
        <v>3347</v>
      </c>
      <c r="AF290" s="153" t="s">
        <v>3348</v>
      </c>
      <c r="AG290" s="149" t="s">
        <v>1167</v>
      </c>
      <c r="AH290" s="153">
        <v>18905815893</v>
      </c>
      <c r="AI290" s="149" t="s">
        <v>1604</v>
      </c>
      <c r="AJ290" s="149" t="s">
        <v>2074</v>
      </c>
      <c r="AK290" s="149" t="s">
        <v>3349</v>
      </c>
      <c r="AL290" s="142">
        <v>42702</v>
      </c>
      <c r="AM290" s="142">
        <f>EDATE(AL290,36)</f>
        <v>43797</v>
      </c>
      <c r="AN290" s="148">
        <f ca="1">ROUND(AM290-NOW(),0)</f>
        <v>-2255</v>
      </c>
      <c r="AO290" s="139"/>
      <c r="AP290" s="139"/>
      <c r="AQ290" s="137"/>
    </row>
    <row r="291" customHeight="1" spans="1:43">
      <c r="A291" s="122">
        <v>330</v>
      </c>
      <c r="B291" s="126">
        <v>42853</v>
      </c>
      <c r="C291" s="125" t="s">
        <v>1026</v>
      </c>
      <c r="D291" s="132" t="s">
        <v>3350</v>
      </c>
      <c r="E291" s="132"/>
      <c r="F291" s="127" t="s">
        <v>3351</v>
      </c>
      <c r="G291" s="123" t="s">
        <v>224</v>
      </c>
      <c r="H291" s="123" t="s">
        <v>225</v>
      </c>
      <c r="I291" s="125" t="s">
        <v>27</v>
      </c>
      <c r="J291" s="125" t="s">
        <v>2980</v>
      </c>
      <c r="K291" s="125" t="s">
        <v>21</v>
      </c>
      <c r="L291" s="126">
        <v>42795</v>
      </c>
      <c r="M291" s="126" t="str">
        <f ca="1" t="shared" ref="M291:M299" si="20">IF(L291="","",DATEDIF(L291,NOW(),"Y")&amp;"年"&amp;MOD(DATEDIF(L291,NOW(),"M"),12)&amp;"个月")</f>
        <v>8年10个月</v>
      </c>
      <c r="N291" s="183" t="s">
        <v>3352</v>
      </c>
      <c r="O291" s="125" t="s">
        <v>782</v>
      </c>
      <c r="P291" s="128">
        <v>34616</v>
      </c>
      <c r="Q291" s="125">
        <f ca="1" t="shared" si="17"/>
        <v>31</v>
      </c>
      <c r="R291" s="155" t="s">
        <v>1001</v>
      </c>
      <c r="S291" s="125" t="s">
        <v>785</v>
      </c>
      <c r="T291" s="125" t="s">
        <v>1002</v>
      </c>
      <c r="U291" s="125" t="s">
        <v>1141</v>
      </c>
      <c r="V291" s="125" t="s">
        <v>3353</v>
      </c>
      <c r="W291" s="125" t="s">
        <v>1005</v>
      </c>
      <c r="X291" s="125" t="s">
        <v>1006</v>
      </c>
      <c r="Y291" s="125" t="s">
        <v>3354</v>
      </c>
      <c r="Z291" s="125" t="s">
        <v>1258</v>
      </c>
      <c r="AA291" s="156">
        <v>42887</v>
      </c>
      <c r="AB291" s="177">
        <v>13141371717</v>
      </c>
      <c r="AC291" s="217" t="s">
        <v>3355</v>
      </c>
      <c r="AD291" s="178" t="s">
        <v>3356</v>
      </c>
      <c r="AE291" s="136" t="s">
        <v>3357</v>
      </c>
      <c r="AF291" s="157" t="s">
        <v>3358</v>
      </c>
      <c r="AG291" s="136" t="s">
        <v>1011</v>
      </c>
      <c r="AH291" s="157">
        <v>13709380206</v>
      </c>
      <c r="AI291" s="136" t="s">
        <v>1060</v>
      </c>
      <c r="AJ291" s="136">
        <v>0</v>
      </c>
      <c r="AK291" s="136" t="s">
        <v>3359</v>
      </c>
      <c r="AL291" s="126"/>
      <c r="AM291" s="128"/>
      <c r="AN291" s="135"/>
      <c r="AO291" s="125"/>
      <c r="AP291" s="125"/>
      <c r="AQ291" s="123"/>
    </row>
    <row r="292" customHeight="1" spans="1:43">
      <c r="A292" s="122">
        <v>371</v>
      </c>
      <c r="B292" s="140">
        <v>42860</v>
      </c>
      <c r="C292" s="139" t="s">
        <v>1026</v>
      </c>
      <c r="D292" s="122" t="s">
        <v>3360</v>
      </c>
      <c r="E292" s="122"/>
      <c r="F292" s="141" t="s">
        <v>3361</v>
      </c>
      <c r="G292" s="141" t="s">
        <v>25</v>
      </c>
      <c r="H292" s="137" t="s">
        <v>55</v>
      </c>
      <c r="I292" s="139" t="s">
        <v>56</v>
      </c>
      <c r="J292" s="139" t="s">
        <v>2980</v>
      </c>
      <c r="K292" s="139" t="s">
        <v>21</v>
      </c>
      <c r="L292" s="142">
        <v>42324</v>
      </c>
      <c r="M292" s="139" t="str">
        <f ca="1" t="shared" si="20"/>
        <v>10年2个月</v>
      </c>
      <c r="N292" s="181" t="s">
        <v>3362</v>
      </c>
      <c r="O292" s="139" t="s">
        <v>782</v>
      </c>
      <c r="P292" s="142">
        <v>31447</v>
      </c>
      <c r="Q292" s="143">
        <f ca="1" t="shared" si="17"/>
        <v>40</v>
      </c>
      <c r="R292" s="151" t="s">
        <v>1001</v>
      </c>
      <c r="S292" s="139" t="s">
        <v>879</v>
      </c>
      <c r="T292" s="139" t="s">
        <v>1002</v>
      </c>
      <c r="U292" s="139" t="s">
        <v>3363</v>
      </c>
      <c r="V292" s="139" t="s">
        <v>3364</v>
      </c>
      <c r="W292" s="139" t="s">
        <v>1054</v>
      </c>
      <c r="X292" s="139" t="s">
        <v>1006</v>
      </c>
      <c r="Y292" s="139" t="s">
        <v>3365</v>
      </c>
      <c r="Z292" s="139" t="s">
        <v>3366</v>
      </c>
      <c r="AA292" s="222">
        <v>39995</v>
      </c>
      <c r="AB292" s="251">
        <v>15101015836</v>
      </c>
      <c r="AC292" s="252" t="s">
        <v>3367</v>
      </c>
      <c r="AD292" s="149" t="s">
        <v>3368</v>
      </c>
      <c r="AE292" s="149" t="s">
        <v>3369</v>
      </c>
      <c r="AF292" s="153" t="s">
        <v>918</v>
      </c>
      <c r="AG292" s="149" t="s">
        <v>1528</v>
      </c>
      <c r="AH292" s="153">
        <v>15110262274</v>
      </c>
      <c r="AI292" s="149" t="s">
        <v>1060</v>
      </c>
      <c r="AJ292" s="149"/>
      <c r="AK292" s="149"/>
      <c r="AL292" s="142">
        <f>L292</f>
        <v>42324</v>
      </c>
      <c r="AM292" s="142">
        <f>EDATE(AL292,36)-1</f>
        <v>43419</v>
      </c>
      <c r="AN292" s="148">
        <f ca="1">ROUND(AM292-NOW(),0)</f>
        <v>-2633</v>
      </c>
      <c r="AO292" s="139"/>
      <c r="AP292" s="139"/>
      <c r="AQ292" s="137" t="s">
        <v>23</v>
      </c>
    </row>
    <row r="293" customHeight="1" spans="1:43">
      <c r="A293" s="122">
        <v>412</v>
      </c>
      <c r="B293" s="140">
        <v>42863</v>
      </c>
      <c r="C293" s="139" t="s">
        <v>1013</v>
      </c>
      <c r="D293" s="122" t="s">
        <v>3009</v>
      </c>
      <c r="E293" s="122"/>
      <c r="F293" s="141" t="s">
        <v>3370</v>
      </c>
      <c r="G293" s="141" t="s">
        <v>25</v>
      </c>
      <c r="H293" s="137" t="s">
        <v>26</v>
      </c>
      <c r="I293" s="139" t="s">
        <v>208</v>
      </c>
      <c r="J293" s="139" t="s">
        <v>2980</v>
      </c>
      <c r="K293" s="139" t="s">
        <v>21</v>
      </c>
      <c r="L293" s="142">
        <v>42430</v>
      </c>
      <c r="M293" s="139" t="str">
        <f ca="1" t="shared" si="20"/>
        <v>9年10个月</v>
      </c>
      <c r="N293" s="181" t="s">
        <v>3371</v>
      </c>
      <c r="O293" s="139" t="s">
        <v>782</v>
      </c>
      <c r="P293" s="142">
        <v>30252</v>
      </c>
      <c r="Q293" s="143">
        <f ca="1" t="shared" si="17"/>
        <v>43</v>
      </c>
      <c r="R293" s="151" t="s">
        <v>1001</v>
      </c>
      <c r="S293" s="139" t="s">
        <v>879</v>
      </c>
      <c r="T293" s="139" t="s">
        <v>1002</v>
      </c>
      <c r="U293" s="139" t="s">
        <v>3372</v>
      </c>
      <c r="V293" s="139" t="s">
        <v>3373</v>
      </c>
      <c r="W293" s="139" t="s">
        <v>1005</v>
      </c>
      <c r="X293" s="139" t="s">
        <v>974</v>
      </c>
      <c r="Y293" s="139" t="s">
        <v>3374</v>
      </c>
      <c r="Z293" s="139" t="s">
        <v>3375</v>
      </c>
      <c r="AA293" s="222">
        <v>41791</v>
      </c>
      <c r="AB293" s="251">
        <v>18611750169</v>
      </c>
      <c r="AC293" s="252" t="s">
        <v>3376</v>
      </c>
      <c r="AD293" s="149" t="s">
        <v>3377</v>
      </c>
      <c r="AE293" s="149" t="s">
        <v>3373</v>
      </c>
      <c r="AF293" s="153" t="s">
        <v>3378</v>
      </c>
      <c r="AG293" s="149" t="s">
        <v>1059</v>
      </c>
      <c r="AH293" s="153">
        <v>13810357550</v>
      </c>
      <c r="AI293" s="149" t="s">
        <v>1604</v>
      </c>
      <c r="AJ293" s="149" t="s">
        <v>3379</v>
      </c>
      <c r="AK293" s="149"/>
      <c r="AL293" s="142">
        <f>L293</f>
        <v>42430</v>
      </c>
      <c r="AM293" s="142">
        <f>EDATE(AL293,36)-1</f>
        <v>43524</v>
      </c>
      <c r="AN293" s="148">
        <f ca="1">ROUND(AM293-NOW(),0)</f>
        <v>-2528</v>
      </c>
      <c r="AO293" s="139"/>
      <c r="AP293" s="139" t="s">
        <v>3380</v>
      </c>
      <c r="AQ293" s="137" t="s">
        <v>23</v>
      </c>
    </row>
    <row r="294" customHeight="1" spans="1:43">
      <c r="A294" s="122"/>
      <c r="B294" s="140">
        <v>42859</v>
      </c>
      <c r="C294" s="139" t="s">
        <v>1026</v>
      </c>
      <c r="D294" s="122" t="s">
        <v>3381</v>
      </c>
      <c r="E294" s="122"/>
      <c r="F294" s="141" t="s">
        <v>3382</v>
      </c>
      <c r="G294" s="141" t="s">
        <v>205</v>
      </c>
      <c r="H294" s="137" t="s">
        <v>26</v>
      </c>
      <c r="I294" s="142" t="s">
        <v>80</v>
      </c>
      <c r="J294" s="140" t="s">
        <v>2980</v>
      </c>
      <c r="K294" s="139" t="s">
        <v>21</v>
      </c>
      <c r="L294" s="142">
        <v>42857</v>
      </c>
      <c r="M294" s="142" t="str">
        <f ca="1" t="shared" si="20"/>
        <v>8年8个月</v>
      </c>
      <c r="N294" s="151" t="s">
        <v>3383</v>
      </c>
      <c r="O294" s="139" t="s">
        <v>782</v>
      </c>
      <c r="P294" s="139">
        <v>33241</v>
      </c>
      <c r="Q294" s="139">
        <v>26</v>
      </c>
      <c r="R294" s="139" t="s">
        <v>1001</v>
      </c>
      <c r="S294" s="139" t="s">
        <v>785</v>
      </c>
      <c r="T294" s="139">
        <v>0</v>
      </c>
      <c r="U294" s="139" t="s">
        <v>1255</v>
      </c>
      <c r="V294" s="139" t="s">
        <v>2133</v>
      </c>
      <c r="W294" s="222" t="s">
        <v>1379</v>
      </c>
      <c r="X294" s="139" t="s">
        <v>3384</v>
      </c>
      <c r="Y294" s="251" t="s">
        <v>2718</v>
      </c>
      <c r="Z294" s="252" t="s">
        <v>1266</v>
      </c>
      <c r="AA294" s="222">
        <v>41426</v>
      </c>
      <c r="AB294" s="153">
        <v>18500977179</v>
      </c>
      <c r="AC294" s="149" t="s">
        <v>3385</v>
      </c>
      <c r="AD294" s="153" t="s">
        <v>3386</v>
      </c>
      <c r="AE294" s="149" t="s">
        <v>3387</v>
      </c>
      <c r="AF294" s="149">
        <v>0</v>
      </c>
      <c r="AG294" s="149">
        <v>0</v>
      </c>
      <c r="AH294" s="142"/>
      <c r="AI294" s="142" t="s">
        <v>3388</v>
      </c>
      <c r="AJ294" s="148">
        <v>0</v>
      </c>
      <c r="AK294" s="139" t="s">
        <v>3389</v>
      </c>
      <c r="AL294" s="139"/>
      <c r="AM294" s="139"/>
      <c r="AN294" s="139"/>
      <c r="AO294" s="139"/>
      <c r="AP294" s="139" t="s">
        <v>3390</v>
      </c>
      <c r="AQ294" s="139"/>
    </row>
    <row r="295" customHeight="1" spans="1:43">
      <c r="A295" s="122"/>
      <c r="B295" s="140">
        <v>42867</v>
      </c>
      <c r="C295" s="139" t="s">
        <v>1013</v>
      </c>
      <c r="D295" s="122" t="s">
        <v>3009</v>
      </c>
      <c r="E295" s="122"/>
      <c r="F295" s="141" t="s">
        <v>3391</v>
      </c>
      <c r="G295" s="141" t="s">
        <v>25</v>
      </c>
      <c r="H295" s="137" t="s">
        <v>26</v>
      </c>
      <c r="I295" s="142" t="s">
        <v>191</v>
      </c>
      <c r="J295" s="140" t="s">
        <v>2980</v>
      </c>
      <c r="K295" s="139" t="s">
        <v>21</v>
      </c>
      <c r="L295" s="142">
        <v>41848</v>
      </c>
      <c r="M295" s="142" t="str">
        <f ca="1" t="shared" si="20"/>
        <v>11年6个月</v>
      </c>
      <c r="N295" s="151" t="s">
        <v>3392</v>
      </c>
      <c r="O295" s="139" t="str">
        <f>IF(N295="","",IF(AND(LEN(N295)&lt;&gt;15,LEN(N295)&lt;&gt;18),"错误",IF(MOD(IF(LEN(N295)=15,MID(N295,15,1),MID(N295,17,1)),2)=1,"男","女")))</f>
        <v>男</v>
      </c>
      <c r="P295" s="139">
        <f>IF(N295="","",IF(AND(LEN(N295)&lt;&gt;15,LEN(N295)&lt;&gt;18),"错误",IF(LEN(N295)=15,DATE(MID(N295,7,2),MID(N295,9,2),MID(N295,11,2)),DATE(MID(N295,7,4),MID(N295,11,2),MID(N295,13,2)))))</f>
        <v>31229</v>
      </c>
      <c r="Q295" s="139">
        <f ca="1" t="shared" ref="Q295:Q303" si="21">IF(N295="","",IF(AND(LEN(N295)&lt;&gt;15,LEN(N295)&lt;&gt;18),"错误",ROUNDDOWN((NOW()-P295)/365,0)))</f>
        <v>40</v>
      </c>
      <c r="R295" s="139" t="s">
        <v>1001</v>
      </c>
      <c r="S295" s="139" t="s">
        <v>879</v>
      </c>
      <c r="T295" s="139" t="s">
        <v>1002</v>
      </c>
      <c r="U295" s="139" t="s">
        <v>21</v>
      </c>
      <c r="V295" s="139" t="s">
        <v>21</v>
      </c>
      <c r="W295" s="222" t="s">
        <v>786</v>
      </c>
      <c r="X295" s="139" t="s">
        <v>1021</v>
      </c>
      <c r="Y295" s="251" t="s">
        <v>2983</v>
      </c>
      <c r="Z295" s="252" t="s">
        <v>3128</v>
      </c>
      <c r="AA295" s="222"/>
      <c r="AB295" s="153">
        <v>15801632462</v>
      </c>
      <c r="AC295" s="149" t="s">
        <v>3393</v>
      </c>
      <c r="AD295" s="153" t="s">
        <v>3394</v>
      </c>
      <c r="AE295" s="149" t="s">
        <v>3395</v>
      </c>
      <c r="AF295" s="149" t="s">
        <v>3396</v>
      </c>
      <c r="AG295" s="149" t="s">
        <v>1167</v>
      </c>
      <c r="AH295" s="153">
        <v>15801632461</v>
      </c>
      <c r="AI295" s="142" t="s">
        <v>1060</v>
      </c>
      <c r="AJ295" s="148"/>
      <c r="AK295" s="139"/>
      <c r="AL295" s="142">
        <v>42582</v>
      </c>
      <c r="AM295" s="142">
        <f>EDATE(AL295,36)-1</f>
        <v>43676</v>
      </c>
      <c r="AN295" s="139">
        <f ca="1">ROUND(AM295-NOW(),0)</f>
        <v>-2376</v>
      </c>
      <c r="AO295" s="139" t="s">
        <v>3397</v>
      </c>
      <c r="AP295" s="139"/>
      <c r="AQ295" s="139" t="s">
        <v>23</v>
      </c>
    </row>
    <row r="296" customHeight="1" spans="1:43">
      <c r="A296" s="122"/>
      <c r="B296" s="126">
        <v>42871</v>
      </c>
      <c r="C296" s="125" t="s">
        <v>1026</v>
      </c>
      <c r="D296" s="132"/>
      <c r="E296" s="132"/>
      <c r="F296" s="127" t="s">
        <v>3398</v>
      </c>
      <c r="G296" s="123" t="s">
        <v>18</v>
      </c>
      <c r="H296" s="123" t="s">
        <v>32</v>
      </c>
      <c r="I296" s="125" t="s">
        <v>27</v>
      </c>
      <c r="J296" s="125" t="s">
        <v>2980</v>
      </c>
      <c r="K296" s="125" t="s">
        <v>21</v>
      </c>
      <c r="L296" s="126">
        <v>42786</v>
      </c>
      <c r="M296" s="126" t="str">
        <f ca="1" t="shared" si="20"/>
        <v>8年11个月</v>
      </c>
      <c r="N296" s="183" t="s">
        <v>3399</v>
      </c>
      <c r="O296" s="125" t="s">
        <v>782</v>
      </c>
      <c r="P296" s="128">
        <v>35167</v>
      </c>
      <c r="Q296" s="125">
        <f ca="1" t="shared" si="21"/>
        <v>29</v>
      </c>
      <c r="R296" s="155" t="s">
        <v>1001</v>
      </c>
      <c r="S296" s="125" t="s">
        <v>785</v>
      </c>
      <c r="T296" s="125" t="s">
        <v>1002</v>
      </c>
      <c r="U296" s="125" t="s">
        <v>21</v>
      </c>
      <c r="V296" s="125" t="s">
        <v>3400</v>
      </c>
      <c r="W296" s="125" t="s">
        <v>1005</v>
      </c>
      <c r="X296" s="125" t="s">
        <v>1006</v>
      </c>
      <c r="Y296" s="125" t="s">
        <v>1109</v>
      </c>
      <c r="Z296" s="125" t="s">
        <v>1218</v>
      </c>
      <c r="AA296" s="156">
        <v>42917</v>
      </c>
      <c r="AB296" s="177">
        <v>15600610440</v>
      </c>
      <c r="AC296" s="217" t="s">
        <v>3401</v>
      </c>
      <c r="AD296" s="178" t="s">
        <v>3402</v>
      </c>
      <c r="AE296" s="136" t="s">
        <v>3403</v>
      </c>
      <c r="AF296" s="157" t="s">
        <v>3404</v>
      </c>
      <c r="AG296" s="136" t="s">
        <v>2009</v>
      </c>
      <c r="AH296" s="157">
        <v>13801110182</v>
      </c>
      <c r="AI296" s="136" t="s">
        <v>1035</v>
      </c>
      <c r="AJ296" s="136" t="s">
        <v>518</v>
      </c>
      <c r="AK296" s="136">
        <v>0</v>
      </c>
      <c r="AL296" s="126"/>
      <c r="AM296" s="128"/>
      <c r="AN296" s="135"/>
      <c r="AO296" s="125"/>
      <c r="AP296" s="125"/>
      <c r="AQ296" s="123"/>
    </row>
    <row r="297" customHeight="1" spans="1:43">
      <c r="A297" s="122"/>
      <c r="B297" s="140">
        <v>42873</v>
      </c>
      <c r="C297" s="139" t="s">
        <v>1026</v>
      </c>
      <c r="D297" s="122"/>
      <c r="E297" s="122"/>
      <c r="F297" s="141" t="s">
        <v>3405</v>
      </c>
      <c r="G297" s="141" t="s">
        <v>52</v>
      </c>
      <c r="H297" s="137" t="s">
        <v>125</v>
      </c>
      <c r="I297" s="142" t="s">
        <v>589</v>
      </c>
      <c r="J297" s="140" t="s">
        <v>3013</v>
      </c>
      <c r="K297" s="139" t="s">
        <v>21</v>
      </c>
      <c r="L297" s="142">
        <v>42730</v>
      </c>
      <c r="M297" s="142" t="str">
        <f ca="1" t="shared" si="20"/>
        <v>9年1个月</v>
      </c>
      <c r="N297" s="151" t="s">
        <v>3406</v>
      </c>
      <c r="O297" s="139" t="s">
        <v>782</v>
      </c>
      <c r="P297" s="139">
        <v>31981</v>
      </c>
      <c r="Q297" s="139">
        <f ca="1" t="shared" si="21"/>
        <v>38</v>
      </c>
      <c r="R297" s="139" t="s">
        <v>784</v>
      </c>
      <c r="S297" s="139" t="s">
        <v>879</v>
      </c>
      <c r="T297" s="139" t="s">
        <v>1002</v>
      </c>
      <c r="U297" s="139" t="s">
        <v>3407</v>
      </c>
      <c r="V297" s="139" t="s">
        <v>3408</v>
      </c>
      <c r="W297" s="222" t="s">
        <v>1005</v>
      </c>
      <c r="X297" s="139" t="s">
        <v>974</v>
      </c>
      <c r="Y297" s="251" t="s">
        <v>3409</v>
      </c>
      <c r="Z297" s="252" t="s">
        <v>3410</v>
      </c>
      <c r="AA297" s="222">
        <v>41456</v>
      </c>
      <c r="AB297" s="153">
        <v>18810087592</v>
      </c>
      <c r="AC297" s="149" t="s">
        <v>3411</v>
      </c>
      <c r="AD297" s="153" t="s">
        <v>3412</v>
      </c>
      <c r="AE297" s="149" t="s">
        <v>3413</v>
      </c>
      <c r="AF297" s="149" t="s">
        <v>3414</v>
      </c>
      <c r="AG297" s="149" t="s">
        <v>1059</v>
      </c>
      <c r="AH297" s="153">
        <v>18810087591</v>
      </c>
      <c r="AI297" s="142" t="s">
        <v>1060</v>
      </c>
      <c r="AJ297" s="148">
        <v>0</v>
      </c>
      <c r="AK297" s="139" t="s">
        <v>3415</v>
      </c>
      <c r="AL297" s="142">
        <v>42730</v>
      </c>
      <c r="AM297" s="142">
        <f>EDATE(AL297,36)</f>
        <v>43825</v>
      </c>
      <c r="AN297" s="139">
        <f ca="1">ROUND(AM297-NOW(),0)</f>
        <v>-2227</v>
      </c>
      <c r="AO297" s="139"/>
      <c r="AP297" s="139"/>
      <c r="AQ297" s="139"/>
    </row>
    <row r="298" customHeight="1" spans="1:43">
      <c r="A298" s="122"/>
      <c r="B298" s="140">
        <v>42886</v>
      </c>
      <c r="C298" s="139" t="s">
        <v>1026</v>
      </c>
      <c r="D298" s="122" t="s">
        <v>1115</v>
      </c>
      <c r="E298" s="122"/>
      <c r="F298" s="141" t="s">
        <v>3416</v>
      </c>
      <c r="G298" s="141" t="s">
        <v>243</v>
      </c>
      <c r="H298" s="137" t="s">
        <v>540</v>
      </c>
      <c r="I298" s="142" t="s">
        <v>559</v>
      </c>
      <c r="J298" s="140" t="s">
        <v>3013</v>
      </c>
      <c r="K298" s="139" t="s">
        <v>21</v>
      </c>
      <c r="L298" s="142">
        <v>42660</v>
      </c>
      <c r="M298" s="142" t="str">
        <f ca="1" t="shared" si="20"/>
        <v>9年3个月</v>
      </c>
      <c r="N298" s="151" t="s">
        <v>3417</v>
      </c>
      <c r="O298" s="139" t="s">
        <v>782</v>
      </c>
      <c r="P298" s="139">
        <v>28617</v>
      </c>
      <c r="Q298" s="139">
        <f ca="1" t="shared" si="21"/>
        <v>47</v>
      </c>
      <c r="R298" s="139" t="s">
        <v>1001</v>
      </c>
      <c r="S298" s="139" t="s">
        <v>879</v>
      </c>
      <c r="T298" s="139" t="s">
        <v>1051</v>
      </c>
      <c r="U298" s="139" t="s">
        <v>3418</v>
      </c>
      <c r="V298" s="139" t="s">
        <v>3419</v>
      </c>
      <c r="W298" s="222" t="s">
        <v>1005</v>
      </c>
      <c r="X298" s="139" t="s">
        <v>1006</v>
      </c>
      <c r="Y298" s="251" t="s">
        <v>3420</v>
      </c>
      <c r="Z298" s="252" t="s">
        <v>3421</v>
      </c>
      <c r="AA298" s="222">
        <v>36708</v>
      </c>
      <c r="AB298" s="153">
        <v>18519400451</v>
      </c>
      <c r="AC298" s="149" t="s">
        <v>3422</v>
      </c>
      <c r="AD298" s="153" t="s">
        <v>3423</v>
      </c>
      <c r="AE298" s="149" t="s">
        <v>3419</v>
      </c>
      <c r="AF298" s="149" t="s">
        <v>3424</v>
      </c>
      <c r="AG298" s="149" t="s">
        <v>1059</v>
      </c>
      <c r="AH298" s="153">
        <v>18310777365</v>
      </c>
      <c r="AI298" s="142" t="s">
        <v>1604</v>
      </c>
      <c r="AJ298" s="148" t="s">
        <v>3318</v>
      </c>
      <c r="AK298" s="139" t="s">
        <v>3425</v>
      </c>
      <c r="AL298" s="142">
        <v>42660</v>
      </c>
      <c r="AM298" s="142">
        <f>EDATE(AL298,36)-1</f>
        <v>43754</v>
      </c>
      <c r="AN298" s="139">
        <f ca="1">ROUND(AM298-NOW(),0)</f>
        <v>-2298</v>
      </c>
      <c r="AO298" s="139"/>
      <c r="AP298" s="139"/>
      <c r="AQ298" s="139" t="s">
        <v>23</v>
      </c>
    </row>
    <row r="299" customHeight="1" spans="1:43">
      <c r="A299" s="122"/>
      <c r="B299" s="140">
        <v>42886</v>
      </c>
      <c r="C299" s="139" t="s">
        <v>1026</v>
      </c>
      <c r="D299" s="122" t="s">
        <v>1115</v>
      </c>
      <c r="E299" s="122"/>
      <c r="F299" s="141" t="s">
        <v>3426</v>
      </c>
      <c r="G299" s="141" t="s">
        <v>72</v>
      </c>
      <c r="H299" s="137" t="s">
        <v>3427</v>
      </c>
      <c r="I299" s="142" t="s">
        <v>178</v>
      </c>
      <c r="J299" s="140" t="s">
        <v>2980</v>
      </c>
      <c r="K299" s="139" t="s">
        <v>21</v>
      </c>
      <c r="L299" s="142">
        <v>42634</v>
      </c>
      <c r="M299" s="142" t="str">
        <f ca="1" t="shared" si="20"/>
        <v>9年4个月</v>
      </c>
      <c r="N299" s="151" t="s">
        <v>3428</v>
      </c>
      <c r="O299" s="139" t="s">
        <v>782</v>
      </c>
      <c r="P299" s="139">
        <v>31523</v>
      </c>
      <c r="Q299" s="139">
        <f ca="1" t="shared" si="21"/>
        <v>39</v>
      </c>
      <c r="R299" s="139" t="s">
        <v>784</v>
      </c>
      <c r="S299" s="139" t="s">
        <v>785</v>
      </c>
      <c r="T299" s="139" t="s">
        <v>1002</v>
      </c>
      <c r="U299" s="139" t="s">
        <v>3429</v>
      </c>
      <c r="V299" s="139" t="s">
        <v>3430</v>
      </c>
      <c r="W299" s="222" t="s">
        <v>1005</v>
      </c>
      <c r="X299" s="139" t="s">
        <v>1006</v>
      </c>
      <c r="Y299" s="251" t="s">
        <v>3431</v>
      </c>
      <c r="Z299" s="252" t="s">
        <v>3432</v>
      </c>
      <c r="AA299" s="222" t="s">
        <v>3433</v>
      </c>
      <c r="AB299" s="153">
        <v>18611102721</v>
      </c>
      <c r="AC299" s="149" t="s">
        <v>3434</v>
      </c>
      <c r="AD299" s="153" t="s">
        <v>3435</v>
      </c>
      <c r="AE299" s="149" t="s">
        <v>3436</v>
      </c>
      <c r="AF299" s="149" t="s">
        <v>3437</v>
      </c>
      <c r="AG299" s="149" t="s">
        <v>1011</v>
      </c>
      <c r="AH299" s="153">
        <v>13936678421</v>
      </c>
      <c r="AI299" s="142" t="s">
        <v>1035</v>
      </c>
      <c r="AJ299" s="148" t="s">
        <v>280</v>
      </c>
      <c r="AK299" s="139" t="s">
        <v>3438</v>
      </c>
      <c r="AL299" s="142">
        <v>42634</v>
      </c>
      <c r="AM299" s="142">
        <f>EDATE(AL299,36)-1</f>
        <v>43728</v>
      </c>
      <c r="AN299" s="139">
        <f ca="1">ROUND(AM299-NOW(),0)</f>
        <v>-2324</v>
      </c>
      <c r="AO299" s="139"/>
      <c r="AP299" s="139" t="s">
        <v>3439</v>
      </c>
      <c r="AQ299" s="139" t="s">
        <v>23</v>
      </c>
    </row>
    <row r="300" customHeight="1" spans="1:43">
      <c r="A300" s="122"/>
      <c r="B300" s="140">
        <v>42880</v>
      </c>
      <c r="C300" s="139" t="s">
        <v>1026</v>
      </c>
      <c r="D300" s="122" t="s">
        <v>3440</v>
      </c>
      <c r="E300" s="122"/>
      <c r="F300" s="141" t="s">
        <v>3441</v>
      </c>
      <c r="G300" s="141" t="s">
        <v>18</v>
      </c>
      <c r="H300" s="137" t="s">
        <v>91</v>
      </c>
      <c r="I300" s="142" t="s">
        <v>27</v>
      </c>
      <c r="J300" s="140" t="s">
        <v>2980</v>
      </c>
      <c r="K300" s="139" t="s">
        <v>21</v>
      </c>
      <c r="L300" s="142">
        <v>42793</v>
      </c>
      <c r="M300" s="142" t="s">
        <v>3442</v>
      </c>
      <c r="N300" s="151" t="s">
        <v>3443</v>
      </c>
      <c r="O300" s="139" t="s">
        <v>782</v>
      </c>
      <c r="P300" s="139">
        <v>32966</v>
      </c>
      <c r="Q300" s="139">
        <f ca="1" t="shared" si="21"/>
        <v>35</v>
      </c>
      <c r="R300" s="139" t="s">
        <v>784</v>
      </c>
      <c r="S300" s="139" t="s">
        <v>785</v>
      </c>
      <c r="T300" s="139" t="s">
        <v>1002</v>
      </c>
      <c r="U300" s="139" t="s">
        <v>3444</v>
      </c>
      <c r="V300" s="139" t="s">
        <v>818</v>
      </c>
      <c r="W300" s="222" t="s">
        <v>1005</v>
      </c>
      <c r="X300" s="139" t="s">
        <v>1161</v>
      </c>
      <c r="Y300" s="251" t="s">
        <v>1031</v>
      </c>
      <c r="Z300" s="252" t="s">
        <v>824</v>
      </c>
      <c r="AA300" s="222">
        <v>42917</v>
      </c>
      <c r="AB300" s="153">
        <v>18610046411</v>
      </c>
      <c r="AC300" s="149" t="s">
        <v>3445</v>
      </c>
      <c r="AD300" s="153" t="s">
        <v>3446</v>
      </c>
      <c r="AE300" s="149" t="s">
        <v>3447</v>
      </c>
      <c r="AF300" s="149" t="s">
        <v>3448</v>
      </c>
      <c r="AG300" s="149" t="s">
        <v>1097</v>
      </c>
      <c r="AH300" s="153">
        <v>13178118257</v>
      </c>
      <c r="AI300" s="142" t="s">
        <v>1035</v>
      </c>
      <c r="AJ300" s="148" t="s">
        <v>51</v>
      </c>
      <c r="AK300" s="139">
        <v>0</v>
      </c>
      <c r="AL300" s="142"/>
      <c r="AM300" s="142"/>
      <c r="AN300" s="139"/>
      <c r="AO300" s="139"/>
      <c r="AP300" s="139"/>
      <c r="AQ300" s="139"/>
    </row>
    <row r="301" customHeight="1" spans="1:43">
      <c r="A301" s="122"/>
      <c r="B301" s="140">
        <v>42874</v>
      </c>
      <c r="C301" s="139" t="s">
        <v>1013</v>
      </c>
      <c r="D301" s="224" t="s">
        <v>2967</v>
      </c>
      <c r="E301" s="122"/>
      <c r="F301" s="141" t="s">
        <v>3449</v>
      </c>
      <c r="G301" s="141" t="s">
        <v>18</v>
      </c>
      <c r="H301" s="137" t="s">
        <v>260</v>
      </c>
      <c r="I301" s="142" t="s">
        <v>65</v>
      </c>
      <c r="J301" s="140" t="s">
        <v>2980</v>
      </c>
      <c r="K301" s="139" t="s">
        <v>21</v>
      </c>
      <c r="L301" s="142">
        <v>42716</v>
      </c>
      <c r="M301" s="142" t="str">
        <f ca="1">IF(L301="","",DATEDIF(L301,NOW(),"Y")&amp;"年"&amp;MOD(DATEDIF(L301,NOW(),"M"),12)&amp;"个月")</f>
        <v>9年1个月</v>
      </c>
      <c r="N301" s="151" t="s">
        <v>3450</v>
      </c>
      <c r="O301" s="139" t="s">
        <v>782</v>
      </c>
      <c r="P301" s="139">
        <v>32939</v>
      </c>
      <c r="Q301" s="139">
        <f ca="1" t="shared" si="21"/>
        <v>35</v>
      </c>
      <c r="R301" s="139" t="s">
        <v>1001</v>
      </c>
      <c r="S301" s="139" t="s">
        <v>785</v>
      </c>
      <c r="T301" s="139" t="s">
        <v>1002</v>
      </c>
      <c r="U301" s="139" t="s">
        <v>3451</v>
      </c>
      <c r="V301" s="139" t="s">
        <v>3452</v>
      </c>
      <c r="W301" s="222" t="s">
        <v>1005</v>
      </c>
      <c r="X301" s="139" t="s">
        <v>974</v>
      </c>
      <c r="Y301" s="251" t="s">
        <v>3453</v>
      </c>
      <c r="Z301" s="252" t="s">
        <v>3454</v>
      </c>
      <c r="AA301" s="222">
        <v>41609</v>
      </c>
      <c r="AB301" s="153">
        <v>17319279637</v>
      </c>
      <c r="AC301" s="149" t="s">
        <v>3455</v>
      </c>
      <c r="AD301" s="153" t="s">
        <v>3456</v>
      </c>
      <c r="AE301" s="149" t="s">
        <v>3452</v>
      </c>
      <c r="AF301" s="149" t="s">
        <v>3457</v>
      </c>
      <c r="AG301" s="149" t="s">
        <v>1046</v>
      </c>
      <c r="AH301" s="153">
        <v>13928201066</v>
      </c>
      <c r="AI301" s="142" t="s">
        <v>1604</v>
      </c>
      <c r="AJ301" s="148" t="s">
        <v>3458</v>
      </c>
      <c r="AK301" s="139" t="s">
        <v>3459</v>
      </c>
      <c r="AL301" s="142">
        <v>42716</v>
      </c>
      <c r="AM301" s="142">
        <f>EDATE(AL301,36)</f>
        <v>43811</v>
      </c>
      <c r="AN301" s="139">
        <f ca="1">ROUND(AM301-NOW(),0)</f>
        <v>-2241</v>
      </c>
      <c r="AO301" s="139"/>
      <c r="AP301" s="139"/>
      <c r="AQ301" s="139"/>
    </row>
    <row r="302" customHeight="1" spans="1:43">
      <c r="A302" s="122"/>
      <c r="B302" s="140">
        <v>42871</v>
      </c>
      <c r="C302" s="139" t="s">
        <v>1026</v>
      </c>
      <c r="D302" s="122" t="s">
        <v>1115</v>
      </c>
      <c r="E302" s="122"/>
      <c r="F302" s="141" t="s">
        <v>3460</v>
      </c>
      <c r="G302" s="141" t="s">
        <v>36</v>
      </c>
      <c r="H302" s="137" t="s">
        <v>106</v>
      </c>
      <c r="I302" s="142" t="s">
        <v>65</v>
      </c>
      <c r="J302" s="140" t="s">
        <v>3013</v>
      </c>
      <c r="K302" s="139" t="s">
        <v>21</v>
      </c>
      <c r="L302" s="142">
        <v>42795</v>
      </c>
      <c r="M302" s="142" t="str">
        <f ca="1">IF(L302="","",DATEDIF(L302,NOW(),"Y")&amp;"年"&amp;MOD(DATEDIF(L302,NOW(),"M"),12)&amp;"个月")</f>
        <v>8年10个月</v>
      </c>
      <c r="N302" s="151" t="s">
        <v>3461</v>
      </c>
      <c r="O302" s="139" t="s">
        <v>782</v>
      </c>
      <c r="P302" s="139">
        <v>32302</v>
      </c>
      <c r="Q302" s="139">
        <f ca="1" t="shared" si="21"/>
        <v>37</v>
      </c>
      <c r="R302" s="139" t="s">
        <v>1001</v>
      </c>
      <c r="S302" s="139" t="s">
        <v>785</v>
      </c>
      <c r="T302" s="139" t="s">
        <v>1131</v>
      </c>
      <c r="U302" s="139" t="s">
        <v>1464</v>
      </c>
      <c r="V302" s="139" t="s">
        <v>3462</v>
      </c>
      <c r="W302" s="222" t="s">
        <v>1476</v>
      </c>
      <c r="X302" s="139" t="s">
        <v>1006</v>
      </c>
      <c r="Y302" s="251" t="s">
        <v>3463</v>
      </c>
      <c r="Z302" s="252" t="s">
        <v>3464</v>
      </c>
      <c r="AA302" s="222">
        <v>42156</v>
      </c>
      <c r="AB302" s="153">
        <v>18612201227</v>
      </c>
      <c r="AC302" s="149" t="s">
        <v>3465</v>
      </c>
      <c r="AD302" s="153" t="s">
        <v>3466</v>
      </c>
      <c r="AE302" s="149" t="s">
        <v>3467</v>
      </c>
      <c r="AF302" s="149" t="s">
        <v>3468</v>
      </c>
      <c r="AG302" s="149" t="s">
        <v>1794</v>
      </c>
      <c r="AH302" s="153">
        <v>13506353486</v>
      </c>
      <c r="AI302" s="142" t="s">
        <v>1060</v>
      </c>
      <c r="AJ302" s="148" t="s">
        <v>3469</v>
      </c>
      <c r="AK302" s="139" t="s">
        <v>3470</v>
      </c>
      <c r="AL302" s="142">
        <v>42795</v>
      </c>
      <c r="AM302" s="142">
        <f>EDATE(AL302,36)</f>
        <v>43891</v>
      </c>
      <c r="AN302" s="139">
        <f ca="1">ROUND(AM302-NOW(),0)</f>
        <v>-2161</v>
      </c>
      <c r="AO302" s="139"/>
      <c r="AP302" s="139"/>
      <c r="AQ302" s="139"/>
    </row>
    <row r="303" customHeight="1" spans="1:43">
      <c r="A303" s="122"/>
      <c r="B303" s="126">
        <v>42888</v>
      </c>
      <c r="C303" s="125" t="s">
        <v>1026</v>
      </c>
      <c r="D303" s="132"/>
      <c r="E303" s="132"/>
      <c r="F303" s="127" t="s">
        <v>3075</v>
      </c>
      <c r="G303" s="123" t="s">
        <v>18</v>
      </c>
      <c r="H303" s="123" t="s">
        <v>118</v>
      </c>
      <c r="I303" s="125" t="s">
        <v>27</v>
      </c>
      <c r="J303" s="125" t="s">
        <v>2980</v>
      </c>
      <c r="K303" s="125" t="s">
        <v>21</v>
      </c>
      <c r="L303" s="126">
        <v>42585</v>
      </c>
      <c r="M303" s="126" t="str">
        <f ca="1">IF(L303="","",DATEDIF(L303,NOW(),"Y")&amp;"年"&amp;MOD(DATEDIF(L303,NOW(),"M"),12)&amp;"个月")</f>
        <v>9年5个月</v>
      </c>
      <c r="N303" s="183" t="s">
        <v>3471</v>
      </c>
      <c r="O303" s="125" t="s">
        <v>794</v>
      </c>
      <c r="P303" s="128">
        <v>34767</v>
      </c>
      <c r="Q303" s="125">
        <f ca="1" t="shared" si="21"/>
        <v>30</v>
      </c>
      <c r="R303" s="155" t="s">
        <v>784</v>
      </c>
      <c r="S303" s="125" t="s">
        <v>785</v>
      </c>
      <c r="T303" s="125" t="s">
        <v>1002</v>
      </c>
      <c r="U303" s="125" t="s">
        <v>3472</v>
      </c>
      <c r="V303" s="125" t="s">
        <v>3473</v>
      </c>
      <c r="W303" s="125" t="s">
        <v>1005</v>
      </c>
      <c r="X303" s="125" t="s">
        <v>1006</v>
      </c>
      <c r="Y303" s="125" t="s">
        <v>1109</v>
      </c>
      <c r="Z303" s="125" t="s">
        <v>1065</v>
      </c>
      <c r="AA303" s="156">
        <v>42917</v>
      </c>
      <c r="AB303" s="177">
        <v>18661065199</v>
      </c>
      <c r="AC303" s="217" t="s">
        <v>3474</v>
      </c>
      <c r="AD303" s="178" t="s">
        <v>3475</v>
      </c>
      <c r="AE303" s="136" t="s">
        <v>3473</v>
      </c>
      <c r="AF303" s="157" t="s">
        <v>3476</v>
      </c>
      <c r="AG303" s="136" t="s">
        <v>1011</v>
      </c>
      <c r="AH303" s="157">
        <v>13861781179</v>
      </c>
      <c r="AI303" s="136" t="s">
        <v>1035</v>
      </c>
      <c r="AJ303" s="136" t="s">
        <v>3477</v>
      </c>
      <c r="AK303" s="136"/>
      <c r="AL303" s="126"/>
      <c r="AM303" s="128"/>
      <c r="AN303" s="135"/>
      <c r="AO303" s="125"/>
      <c r="AP303" s="125"/>
      <c r="AQ303" s="123" t="s">
        <v>23</v>
      </c>
    </row>
  </sheetData>
  <autoFilter xmlns:etc="http://www.wps.cn/officeDocument/2017/etCustomData" ref="A2:AS303" etc:filterBottomFollowUsedRange="0">
    <extLst/>
  </autoFilter>
  <sortState ref="A3:AU226">
    <sortCondition ref="B2"/>
  </sortState>
  <mergeCells count="6">
    <mergeCell ref="A1:D1"/>
    <mergeCell ref="F1:M1"/>
    <mergeCell ref="N1:AA1"/>
    <mergeCell ref="AB1:AH1"/>
    <mergeCell ref="AI1:AK1"/>
    <mergeCell ref="AL1:AP1"/>
  </mergeCells>
  <conditionalFormatting sqref="N3">
    <cfRule type="expression" dxfId="0" priority="873" stopIfTrue="1">
      <formula>NOT(OR(LEN(N3)=18,LEN(N3)=15,LEN(N3)=0))</formula>
    </cfRule>
    <cfRule type="duplicateValues" dxfId="1" priority="874"/>
  </conditionalFormatting>
  <conditionalFormatting sqref="AA3">
    <cfRule type="cellIs" dxfId="1" priority="872" operator="between">
      <formula>NOW()</formula>
      <formula>NOW()+365</formula>
    </cfRule>
  </conditionalFormatting>
  <conditionalFormatting sqref="N4">
    <cfRule type="expression" dxfId="0" priority="869" stopIfTrue="1">
      <formula>NOT(OR(LEN(N4)=18,LEN(N4)=15,LEN(N4)=0))</formula>
    </cfRule>
    <cfRule type="duplicateValues" dxfId="1" priority="870"/>
  </conditionalFormatting>
  <conditionalFormatting sqref="AA4">
    <cfRule type="cellIs" dxfId="1" priority="868" operator="between">
      <formula>NOW()</formula>
      <formula>NOW()+365</formula>
    </cfRule>
  </conditionalFormatting>
  <conditionalFormatting sqref="N5">
    <cfRule type="expression" dxfId="0" priority="865" stopIfTrue="1">
      <formula>NOT(OR(LEN(N5)=18,LEN(N5)=15,LEN(N5)=0))</formula>
    </cfRule>
    <cfRule type="duplicateValues" dxfId="1" priority="866"/>
  </conditionalFormatting>
  <conditionalFormatting sqref="AA5">
    <cfRule type="cellIs" dxfId="1" priority="864" operator="between">
      <formula>NOW()</formula>
      <formula>NOW()+365</formula>
    </cfRule>
  </conditionalFormatting>
  <conditionalFormatting sqref="N6">
    <cfRule type="expression" dxfId="0" priority="831" stopIfTrue="1">
      <formula>NOT(OR(LEN(N6)=18,LEN(N6)=15,LEN(N6)=0))</formula>
    </cfRule>
    <cfRule type="duplicateValues" dxfId="1" priority="832"/>
  </conditionalFormatting>
  <conditionalFormatting sqref="AA6">
    <cfRule type="cellIs" dxfId="1" priority="829" operator="between">
      <formula>NOW()</formula>
      <formula>NOW()+365</formula>
    </cfRule>
  </conditionalFormatting>
  <conditionalFormatting sqref="N7">
    <cfRule type="expression" dxfId="0" priority="827" stopIfTrue="1">
      <formula>NOT(OR(LEN(N7)=18,LEN(N7)=15,LEN(N7)=0))</formula>
    </cfRule>
    <cfRule type="duplicateValues" dxfId="1" priority="828"/>
  </conditionalFormatting>
  <conditionalFormatting sqref="AA7">
    <cfRule type="cellIs" dxfId="1" priority="825" operator="between">
      <formula>NOW()</formula>
      <formula>NOW()+365</formula>
    </cfRule>
  </conditionalFormatting>
  <conditionalFormatting sqref="N8">
    <cfRule type="expression" dxfId="0" priority="823" stopIfTrue="1">
      <formula>NOT(OR(LEN(N8)=18,LEN(N8)=15,LEN(N8)=0))</formula>
    </cfRule>
    <cfRule type="duplicateValues" dxfId="1" priority="824"/>
  </conditionalFormatting>
  <conditionalFormatting sqref="AA8">
    <cfRule type="cellIs" dxfId="1" priority="822" operator="between">
      <formula>NOW()</formula>
      <formula>NOW()+365</formula>
    </cfRule>
  </conditionalFormatting>
  <conditionalFormatting sqref="N9">
    <cfRule type="expression" dxfId="0" priority="819" stopIfTrue="1">
      <formula>NOT(OR(LEN(N9)=18,LEN(N9)=15,LEN(N9)=0))</formula>
    </cfRule>
    <cfRule type="duplicateValues" dxfId="1" priority="820"/>
  </conditionalFormatting>
  <conditionalFormatting sqref="AA9">
    <cfRule type="cellIs" dxfId="1" priority="818" operator="between">
      <formula>NOW()</formula>
      <formula>NOW()+365</formula>
    </cfRule>
  </conditionalFormatting>
  <conditionalFormatting sqref="N10">
    <cfRule type="expression" dxfId="0" priority="815" stopIfTrue="1">
      <formula>NOT(OR(LEN(N10)=18,LEN(N10)=15,LEN(N10)=0))</formula>
    </cfRule>
    <cfRule type="duplicateValues" dxfId="1" priority="816"/>
  </conditionalFormatting>
  <conditionalFormatting sqref="AA10">
    <cfRule type="cellIs" dxfId="1" priority="814" operator="between">
      <formula>NOW()</formula>
      <formula>NOW()+365</formula>
    </cfRule>
  </conditionalFormatting>
  <conditionalFormatting sqref="N11">
    <cfRule type="expression" dxfId="0" priority="861" stopIfTrue="1">
      <formula>NOT(OR(LEN(N11)=18,LEN(N11)=15,LEN(N11)=0))</formula>
    </cfRule>
    <cfRule type="duplicateValues" dxfId="1" priority="862"/>
  </conditionalFormatting>
  <conditionalFormatting sqref="AA11">
    <cfRule type="cellIs" dxfId="1" priority="860" operator="between">
      <formula>NOW()</formula>
      <formula>NOW()+365</formula>
    </cfRule>
  </conditionalFormatting>
  <conditionalFormatting sqref="AA12">
    <cfRule type="cellIs" dxfId="1" priority="858" operator="between">
      <formula>NOW()</formula>
      <formula>NOW()+365</formula>
    </cfRule>
  </conditionalFormatting>
  <conditionalFormatting sqref="N13">
    <cfRule type="expression" dxfId="0" priority="855" stopIfTrue="1">
      <formula>NOT(OR(LEN(N13)=18,LEN(N13)=15,LEN(N13)=0))</formula>
    </cfRule>
    <cfRule type="duplicateValues" dxfId="1" priority="856"/>
  </conditionalFormatting>
  <conditionalFormatting sqref="AA13">
    <cfRule type="cellIs" dxfId="1" priority="853" operator="between">
      <formula>NOW()</formula>
      <formula>NOW()+365</formula>
    </cfRule>
  </conditionalFormatting>
  <conditionalFormatting sqref="N14">
    <cfRule type="expression" dxfId="0" priority="835" stopIfTrue="1">
      <formula>NOT(OR(LEN(N14)=18,LEN(N14)=15,LEN(N14)=0))</formula>
    </cfRule>
    <cfRule type="duplicateValues" dxfId="1" priority="836"/>
  </conditionalFormatting>
  <conditionalFormatting sqref="AA14">
    <cfRule type="cellIs" dxfId="1" priority="834" operator="between">
      <formula>NOW()</formula>
      <formula>NOW()+365</formula>
    </cfRule>
  </conditionalFormatting>
  <conditionalFormatting sqref="N15">
    <cfRule type="expression" dxfId="0" priority="851" stopIfTrue="1">
      <formula>NOT(OR(LEN(N15)=18,LEN(N15)=15,LEN(N15)=0))</formula>
    </cfRule>
    <cfRule type="duplicateValues" dxfId="1" priority="852"/>
  </conditionalFormatting>
  <conditionalFormatting sqref="AA15">
    <cfRule type="cellIs" dxfId="1" priority="850" operator="between">
      <formula>NOW()</formula>
      <formula>NOW()+365</formula>
    </cfRule>
  </conditionalFormatting>
  <conditionalFormatting sqref="N16">
    <cfRule type="expression" dxfId="0" priority="847" stopIfTrue="1">
      <formula>NOT(OR(LEN(N16)=18,LEN(N16)=15,LEN(N16)=0))</formula>
    </cfRule>
    <cfRule type="duplicateValues" dxfId="1" priority="848"/>
  </conditionalFormatting>
  <conditionalFormatting sqref="AA16">
    <cfRule type="cellIs" dxfId="1" priority="846" operator="between">
      <formula>NOW()</formula>
      <formula>NOW()+365</formula>
    </cfRule>
  </conditionalFormatting>
  <conditionalFormatting sqref="N23">
    <cfRule type="expression" dxfId="2" priority="910" stopIfTrue="1">
      <formula>NOT(OR(LEN(N23)=18,LEN(N23)=15,LEN(N23)=0))</formula>
    </cfRule>
  </conditionalFormatting>
  <conditionalFormatting sqref="AA23">
    <cfRule type="cellIs" dxfId="3" priority="909" stopIfTrue="1" operator="between">
      <formula>NOW()</formula>
      <formula>NOW()+365</formula>
    </cfRule>
  </conditionalFormatting>
  <conditionalFormatting sqref="N26">
    <cfRule type="expression" dxfId="2" priority="904" stopIfTrue="1">
      <formula>NOT(OR(LEN(N26)=18,LEN(N26)=15,LEN(N26)=0))</formula>
    </cfRule>
  </conditionalFormatting>
  <conditionalFormatting sqref="AA26">
    <cfRule type="cellIs" dxfId="3" priority="903" stopIfTrue="1" operator="between">
      <formula>NOW()</formula>
      <formula>NOW()+365</formula>
    </cfRule>
  </conditionalFormatting>
  <conditionalFormatting sqref="N27">
    <cfRule type="expression" dxfId="2" priority="901" stopIfTrue="1">
      <formula>NOT(OR(LEN(N27)=18,LEN(N27)=15,LEN(N27)=0))</formula>
    </cfRule>
  </conditionalFormatting>
  <conditionalFormatting sqref="AA27">
    <cfRule type="cellIs" dxfId="3" priority="900" stopIfTrue="1" operator="between">
      <formula>NOW()</formula>
      <formula>NOW()+365</formula>
    </cfRule>
  </conditionalFormatting>
  <conditionalFormatting sqref="N60">
    <cfRule type="duplicateValues" dxfId="1" priority="1308"/>
  </conditionalFormatting>
  <conditionalFormatting sqref="N62">
    <cfRule type="duplicateValues" dxfId="1" priority="1305"/>
  </conditionalFormatting>
  <conditionalFormatting sqref="N63">
    <cfRule type="duplicateValues" dxfId="1" priority="1302"/>
  </conditionalFormatting>
  <conditionalFormatting sqref="N64">
    <cfRule type="duplicateValues" dxfId="1" priority="7235"/>
  </conditionalFormatting>
  <conditionalFormatting sqref="N65">
    <cfRule type="duplicateValues" dxfId="1" priority="1311"/>
  </conditionalFormatting>
  <conditionalFormatting sqref="N66">
    <cfRule type="duplicateValues" dxfId="1" priority="1299"/>
  </conditionalFormatting>
  <conditionalFormatting sqref="AA66">
    <cfRule type="cellIs" dxfId="1" priority="1298" operator="between">
      <formula>NOW()</formula>
      <formula>NOW()+365</formula>
    </cfRule>
  </conditionalFormatting>
  <conditionalFormatting sqref="N67">
    <cfRule type="duplicateValues" dxfId="1" priority="1295"/>
  </conditionalFormatting>
  <conditionalFormatting sqref="AA67">
    <cfRule type="cellIs" dxfId="1" priority="1294" operator="between">
      <formula>NOW()</formula>
      <formula>NOW()+365</formula>
    </cfRule>
  </conditionalFormatting>
  <conditionalFormatting sqref="N68">
    <cfRule type="duplicateValues" dxfId="1" priority="1291"/>
  </conditionalFormatting>
  <conditionalFormatting sqref="AA68">
    <cfRule type="cellIs" dxfId="1" priority="1290" operator="between">
      <formula>NOW()</formula>
      <formula>NOW()+365</formula>
    </cfRule>
  </conditionalFormatting>
  <conditionalFormatting sqref="N69">
    <cfRule type="duplicateValues" dxfId="1" priority="1289"/>
  </conditionalFormatting>
  <conditionalFormatting sqref="AA69">
    <cfRule type="cellIs" dxfId="1" priority="1287" operator="between">
      <formula>NOW()</formula>
      <formula>NOW()+365</formula>
    </cfRule>
  </conditionalFormatting>
  <conditionalFormatting sqref="N70">
    <cfRule type="duplicateValues" dxfId="1" priority="1285"/>
  </conditionalFormatting>
  <conditionalFormatting sqref="AA70">
    <cfRule type="cellIs" dxfId="1" priority="1282" operator="between">
      <formula>NOW()</formula>
      <formula>NOW()+365</formula>
    </cfRule>
  </conditionalFormatting>
  <conditionalFormatting sqref="N71">
    <cfRule type="duplicateValues" dxfId="1" priority="1281"/>
  </conditionalFormatting>
  <conditionalFormatting sqref="AA71">
    <cfRule type="cellIs" dxfId="1" priority="1278" operator="between">
      <formula>NOW()</formula>
      <formula>NOW()+365</formula>
    </cfRule>
  </conditionalFormatting>
  <conditionalFormatting sqref="N72">
    <cfRule type="duplicateValues" dxfId="1" priority="1275"/>
  </conditionalFormatting>
  <conditionalFormatting sqref="AA72">
    <cfRule type="cellIs" dxfId="1" priority="1274" operator="between">
      <formula>NOW()</formula>
      <formula>NOW()+365</formula>
    </cfRule>
  </conditionalFormatting>
  <conditionalFormatting sqref="N73">
    <cfRule type="duplicateValues" dxfId="1" priority="1273"/>
  </conditionalFormatting>
  <conditionalFormatting sqref="AA73">
    <cfRule type="cellIs" dxfId="1" priority="1270" operator="between">
      <formula>NOW()</formula>
      <formula>NOW()+365</formula>
    </cfRule>
  </conditionalFormatting>
  <conditionalFormatting sqref="N74">
    <cfRule type="duplicateValues" dxfId="1" priority="1267"/>
  </conditionalFormatting>
  <conditionalFormatting sqref="AA74">
    <cfRule type="cellIs" dxfId="1" priority="1266" operator="between">
      <formula>NOW()</formula>
      <formula>NOW()+365</formula>
    </cfRule>
  </conditionalFormatting>
  <conditionalFormatting sqref="N75">
    <cfRule type="duplicateValues" dxfId="1" priority="1263"/>
  </conditionalFormatting>
  <conditionalFormatting sqref="AA75">
    <cfRule type="cellIs" dxfId="1" priority="1262" operator="between">
      <formula>NOW()</formula>
      <formula>NOW()+365</formula>
    </cfRule>
  </conditionalFormatting>
  <conditionalFormatting sqref="N76">
    <cfRule type="duplicateValues" dxfId="1" priority="1259"/>
  </conditionalFormatting>
  <conditionalFormatting sqref="AA76">
    <cfRule type="cellIs" dxfId="1" priority="1258" operator="between">
      <formula>NOW()</formula>
      <formula>NOW()+365</formula>
    </cfRule>
  </conditionalFormatting>
  <conditionalFormatting sqref="N77">
    <cfRule type="duplicateValues" dxfId="1" priority="1251"/>
  </conditionalFormatting>
  <conditionalFormatting sqref="AA77">
    <cfRule type="cellIs" dxfId="1" priority="1250" operator="between">
      <formula>NOW()</formula>
      <formula>NOW()+365</formula>
    </cfRule>
  </conditionalFormatting>
  <conditionalFormatting sqref="N78">
    <cfRule type="duplicateValues" dxfId="1" priority="1247"/>
  </conditionalFormatting>
  <conditionalFormatting sqref="AA78">
    <cfRule type="cellIs" dxfId="1" priority="1246" operator="between">
      <formula>NOW()</formula>
      <formula>NOW()+365</formula>
    </cfRule>
  </conditionalFormatting>
  <conditionalFormatting sqref="N79">
    <cfRule type="duplicateValues" dxfId="1" priority="1255"/>
  </conditionalFormatting>
  <conditionalFormatting sqref="AA79">
    <cfRule type="cellIs" dxfId="1" priority="1254" operator="between">
      <formula>NOW()</formula>
      <formula>NOW()+365</formula>
    </cfRule>
  </conditionalFormatting>
  <conditionalFormatting sqref="N80">
    <cfRule type="duplicateValues" dxfId="1" priority="1323"/>
  </conditionalFormatting>
  <conditionalFormatting sqref="AA80">
    <cfRule type="cellIs" dxfId="1" priority="1243" operator="between">
      <formula>NOW()</formula>
      <formula>NOW()+365</formula>
    </cfRule>
  </conditionalFormatting>
  <conditionalFormatting sqref="N81">
    <cfRule type="duplicateValues" dxfId="1" priority="1324"/>
  </conditionalFormatting>
  <conditionalFormatting sqref="AA81">
    <cfRule type="cellIs" dxfId="1" priority="1240" operator="between">
      <formula>NOW()</formula>
      <formula>NOW()+365</formula>
    </cfRule>
  </conditionalFormatting>
  <conditionalFormatting sqref="N82">
    <cfRule type="duplicateValues" dxfId="1" priority="1237"/>
  </conditionalFormatting>
  <conditionalFormatting sqref="AA82">
    <cfRule type="cellIs" dxfId="1" priority="1236" operator="between">
      <formula>NOW()</formula>
      <formula>NOW()+365</formula>
    </cfRule>
  </conditionalFormatting>
  <conditionalFormatting sqref="N83">
    <cfRule type="duplicateValues" dxfId="1" priority="1233"/>
  </conditionalFormatting>
  <conditionalFormatting sqref="AA83">
    <cfRule type="cellIs" dxfId="1" priority="1232" operator="between">
      <formula>NOW()</formula>
      <formula>NOW()+365</formula>
    </cfRule>
  </conditionalFormatting>
  <conditionalFormatting sqref="N84">
    <cfRule type="duplicateValues" dxfId="1" priority="1325"/>
  </conditionalFormatting>
  <conditionalFormatting sqref="AA84">
    <cfRule type="cellIs" dxfId="1" priority="1230" operator="between">
      <formula>NOW()</formula>
      <formula>NOW()+365</formula>
    </cfRule>
  </conditionalFormatting>
  <conditionalFormatting sqref="N85">
    <cfRule type="duplicateValues" dxfId="1" priority="1228"/>
  </conditionalFormatting>
  <conditionalFormatting sqref="AA85">
    <cfRule type="cellIs" dxfId="1" priority="1225" operator="between">
      <formula>NOW()</formula>
      <formula>NOW()+365</formula>
    </cfRule>
  </conditionalFormatting>
  <conditionalFormatting sqref="N86">
    <cfRule type="duplicateValues" dxfId="1" priority="1326"/>
  </conditionalFormatting>
  <conditionalFormatting sqref="AA86">
    <cfRule type="cellIs" dxfId="1" priority="1222" operator="between">
      <formula>NOW()</formula>
      <formula>NOW()+365</formula>
    </cfRule>
  </conditionalFormatting>
  <conditionalFormatting sqref="N87">
    <cfRule type="duplicateValues" dxfId="1" priority="1327"/>
  </conditionalFormatting>
  <conditionalFormatting sqref="AA87">
    <cfRule type="cellIs" dxfId="1" priority="1219" operator="between">
      <formula>NOW()</formula>
      <formula>NOW()+365</formula>
    </cfRule>
  </conditionalFormatting>
  <conditionalFormatting sqref="N88">
    <cfRule type="duplicateValues" dxfId="1" priority="1328"/>
  </conditionalFormatting>
  <conditionalFormatting sqref="AA88">
    <cfRule type="cellIs" dxfId="1" priority="1216" operator="between">
      <formula>NOW()</formula>
      <formula>NOW()+365</formula>
    </cfRule>
  </conditionalFormatting>
  <conditionalFormatting sqref="N89">
    <cfRule type="duplicateValues" dxfId="1" priority="1329"/>
    <cfRule type="expression" dxfId="0" priority="1322" stopIfTrue="1">
      <formula>NOT(OR(LEN('[\Users\hanxiaoguang\Desktop\工资单\10月\Users\yinhema\Desktop\C:\Users\Shuyang Du\Desktop\员工信息表-V20160801－lsh.xlsx]INCUMBENT (2)'!#REF!)=18,LEN('[\Users\hanxiaoguang\Desktop\工资单\10月\Users\yinhema\Desktop\C:\Users\Shuyang Du\Desktop\员工信息表-V20160801－lsh.xlsx]INCUMBENT (2)'!#REF!)=15,LEN('[\Users\hanxiaoguang\Desktop\工资单\10月\Users\yinhema\Desktop\C:\Users\Shuyang Du\Desktop\员工信息表-V20160801－lsh.xlsx]INCUMBENT (2)'!#REF!)=0))</formula>
    </cfRule>
  </conditionalFormatting>
  <conditionalFormatting sqref="AA89">
    <cfRule type="cellIs" dxfId="1" priority="1210" operator="between">
      <formula>NOW()</formula>
      <formula>NOW()+365</formula>
    </cfRule>
  </conditionalFormatting>
  <conditionalFormatting sqref="N90">
    <cfRule type="duplicateValues" dxfId="1" priority="1213"/>
  </conditionalFormatting>
  <conditionalFormatting sqref="AA90">
    <cfRule type="cellIs" dxfId="1" priority="1212" operator="between">
      <formula>NOW()</formula>
      <formula>NOW()+365</formula>
    </cfRule>
  </conditionalFormatting>
  <conditionalFormatting sqref="N91">
    <cfRule type="duplicateValues" dxfId="1" priority="1330"/>
  </conditionalFormatting>
  <conditionalFormatting sqref="AA91">
    <cfRule type="cellIs" dxfId="1" priority="1207" operator="between">
      <formula>NOW()</formula>
      <formula>NOW()+365</formula>
    </cfRule>
  </conditionalFormatting>
  <conditionalFormatting sqref="N92">
    <cfRule type="duplicateValues" dxfId="1" priority="1206"/>
  </conditionalFormatting>
  <conditionalFormatting sqref="AA92">
    <cfRule type="cellIs" dxfId="1" priority="1203" operator="between">
      <formula>NOW()</formula>
      <formula>NOW()+365</formula>
    </cfRule>
  </conditionalFormatting>
  <conditionalFormatting sqref="N93">
    <cfRule type="duplicateValues" dxfId="1" priority="1331"/>
  </conditionalFormatting>
  <conditionalFormatting sqref="AA93">
    <cfRule type="cellIs" dxfId="1" priority="1201" operator="between">
      <formula>NOW()</formula>
      <formula>NOW()+365</formula>
    </cfRule>
  </conditionalFormatting>
  <conditionalFormatting sqref="N94">
    <cfRule type="duplicateValues" dxfId="1" priority="1332"/>
  </conditionalFormatting>
  <conditionalFormatting sqref="AA94">
    <cfRule type="cellIs" dxfId="1" priority="1198" operator="between">
      <formula>NOW()</formula>
      <formula>NOW()+365</formula>
    </cfRule>
  </conditionalFormatting>
  <conditionalFormatting sqref="N95">
    <cfRule type="duplicateValues" dxfId="1" priority="1333"/>
  </conditionalFormatting>
  <conditionalFormatting sqref="AA95">
    <cfRule type="cellIs" dxfId="1" priority="1194" operator="between">
      <formula>NOW()</formula>
      <formula>NOW()+365</formula>
    </cfRule>
  </conditionalFormatting>
  <conditionalFormatting sqref="N96">
    <cfRule type="duplicateValues" dxfId="1" priority="1191"/>
  </conditionalFormatting>
  <conditionalFormatting sqref="AA96">
    <cfRule type="cellIs" dxfId="1" priority="1190" operator="between">
      <formula>NOW()</formula>
      <formula>NOW()+365</formula>
    </cfRule>
  </conditionalFormatting>
  <conditionalFormatting sqref="N97">
    <cfRule type="duplicateValues" dxfId="1" priority="1189"/>
  </conditionalFormatting>
  <conditionalFormatting sqref="AA97">
    <cfRule type="cellIs" dxfId="1" priority="1187" operator="between">
      <formula>NOW()</formula>
      <formula>NOW()+365</formula>
    </cfRule>
  </conditionalFormatting>
  <conditionalFormatting sqref="N98">
    <cfRule type="duplicateValues" dxfId="1" priority="1185"/>
  </conditionalFormatting>
  <conditionalFormatting sqref="AA98">
    <cfRule type="cellIs" dxfId="1" priority="1183" operator="between">
      <formula>NOW()</formula>
      <formula>NOW()+365</formula>
    </cfRule>
  </conditionalFormatting>
  <conditionalFormatting sqref="N99">
    <cfRule type="duplicateValues" dxfId="1" priority="1177"/>
  </conditionalFormatting>
  <conditionalFormatting sqref="AA99">
    <cfRule type="cellIs" dxfId="1" priority="1175" operator="between">
      <formula>NOW()</formula>
      <formula>NOW()+365</formula>
    </cfRule>
  </conditionalFormatting>
  <conditionalFormatting sqref="N100">
    <cfRule type="duplicateValues" dxfId="1" priority="1181"/>
  </conditionalFormatting>
  <conditionalFormatting sqref="AA100">
    <cfRule type="cellIs" dxfId="1" priority="1178" operator="between">
      <formula>NOW()</formula>
      <formula>NOW()+365</formula>
    </cfRule>
  </conditionalFormatting>
  <conditionalFormatting sqref="N101">
    <cfRule type="duplicateValues" dxfId="1" priority="1171"/>
  </conditionalFormatting>
  <conditionalFormatting sqref="AA101">
    <cfRule type="cellIs" dxfId="1" priority="1170" operator="between">
      <formula>NOW()</formula>
      <formula>NOW()+365</formula>
    </cfRule>
  </conditionalFormatting>
  <conditionalFormatting sqref="N102">
    <cfRule type="duplicateValues" dxfId="1" priority="1169"/>
  </conditionalFormatting>
  <conditionalFormatting sqref="AA102">
    <cfRule type="cellIs" dxfId="1" priority="1166" operator="between">
      <formula>NOW()</formula>
      <formula>NOW()+365</formula>
    </cfRule>
  </conditionalFormatting>
  <conditionalFormatting sqref="N103">
    <cfRule type="duplicateValues" dxfId="1" priority="1165"/>
  </conditionalFormatting>
  <conditionalFormatting sqref="AA103">
    <cfRule type="cellIs" dxfId="1" priority="1163" operator="between">
      <formula>NOW()</formula>
      <formula>NOW()+365</formula>
    </cfRule>
  </conditionalFormatting>
  <conditionalFormatting sqref="N104">
    <cfRule type="duplicateValues" dxfId="1" priority="1161"/>
  </conditionalFormatting>
  <conditionalFormatting sqref="AA104">
    <cfRule type="cellIs" dxfId="1" priority="1159" operator="between">
      <formula>NOW()</formula>
      <formula>NOW()+365</formula>
    </cfRule>
  </conditionalFormatting>
  <conditionalFormatting sqref="N105">
    <cfRule type="duplicateValues" dxfId="1" priority="1157"/>
  </conditionalFormatting>
  <conditionalFormatting sqref="AA105">
    <cfRule type="cellIs" dxfId="1" priority="1155" operator="between">
      <formula>NOW()</formula>
      <formula>NOW()+365</formula>
    </cfRule>
  </conditionalFormatting>
  <conditionalFormatting sqref="N106">
    <cfRule type="duplicateValues" dxfId="1" priority="1153"/>
  </conditionalFormatting>
  <conditionalFormatting sqref="AA106">
    <cfRule type="cellIs" dxfId="1" priority="1151" operator="between">
      <formula>NOW()</formula>
      <formula>NOW()+365</formula>
    </cfRule>
  </conditionalFormatting>
  <conditionalFormatting sqref="N107">
    <cfRule type="duplicateValues" dxfId="1" priority="1147"/>
  </conditionalFormatting>
  <conditionalFormatting sqref="N108">
    <cfRule type="duplicateValues" dxfId="1" priority="1145"/>
  </conditionalFormatting>
  <conditionalFormatting sqref="AA108">
    <cfRule type="cellIs" dxfId="1" priority="1143" operator="between">
      <formula>NOW()</formula>
      <formula>NOW()+365</formula>
    </cfRule>
  </conditionalFormatting>
  <conditionalFormatting sqref="N109">
    <cfRule type="expression" dxfId="0" priority="1140" stopIfTrue="1">
      <formula>NOT(OR(LEN(N109)=18,LEN(N109)=15,LEN(N109)=0))</formula>
    </cfRule>
    <cfRule type="duplicateValues" dxfId="1" priority="1141"/>
  </conditionalFormatting>
  <conditionalFormatting sqref="AA109">
    <cfRule type="cellIs" dxfId="1" priority="1139" operator="between">
      <formula>NOW()</formula>
      <formula>NOW()+365</formula>
    </cfRule>
  </conditionalFormatting>
  <conditionalFormatting sqref="N110">
    <cfRule type="expression" dxfId="0" priority="1128" stopIfTrue="1">
      <formula>NOT(OR(LEN(N110)=18,LEN(N110)=15,LEN(N110)=0))</formula>
    </cfRule>
    <cfRule type="duplicateValues" dxfId="1" priority="1129"/>
  </conditionalFormatting>
  <conditionalFormatting sqref="AA110">
    <cfRule type="cellIs" dxfId="1" priority="1127" operator="between">
      <formula>NOW()</formula>
      <formula>NOW()+365</formula>
    </cfRule>
  </conditionalFormatting>
  <conditionalFormatting sqref="N111">
    <cfRule type="expression" dxfId="0" priority="1136" stopIfTrue="1">
      <formula>NOT(OR(LEN(N111)=18,LEN(N111)=15,LEN(N111)=0))</formula>
    </cfRule>
    <cfRule type="duplicateValues" dxfId="1" priority="1137"/>
  </conditionalFormatting>
  <conditionalFormatting sqref="AA111">
    <cfRule type="cellIs" dxfId="1" priority="1134" operator="between">
      <formula>NOW()</formula>
      <formula>NOW()+365</formula>
    </cfRule>
  </conditionalFormatting>
  <conditionalFormatting sqref="N112">
    <cfRule type="expression" dxfId="0" priority="1132" stopIfTrue="1">
      <formula>NOT(OR(LEN(N112)=18,LEN(N112)=15,LEN(N112)=0))</formula>
    </cfRule>
    <cfRule type="duplicateValues" dxfId="1" priority="1133"/>
  </conditionalFormatting>
  <conditionalFormatting sqref="AA112">
    <cfRule type="cellIs" dxfId="1" priority="1131" operator="between">
      <formula>NOW()</formula>
      <formula>NOW()+365</formula>
    </cfRule>
  </conditionalFormatting>
  <conditionalFormatting sqref="N113">
    <cfRule type="expression" dxfId="0" priority="1124" stopIfTrue="1">
      <formula>NOT(OR(LEN(N113)=18,LEN(N113)=15,LEN(N113)=0))</formula>
    </cfRule>
    <cfRule type="duplicateValues" dxfId="1" priority="1125"/>
  </conditionalFormatting>
  <conditionalFormatting sqref="AA113">
    <cfRule type="cellIs" dxfId="1" priority="1123" operator="between">
      <formula>NOW()</formula>
      <formula>NOW()+365</formula>
    </cfRule>
  </conditionalFormatting>
  <conditionalFormatting sqref="N114">
    <cfRule type="expression" dxfId="0" priority="1112" stopIfTrue="1">
      <formula>NOT(OR(LEN(N114)=18,LEN(N114)=15,LEN(N114)=0))</formula>
    </cfRule>
    <cfRule type="duplicateValues" dxfId="1" priority="1113"/>
  </conditionalFormatting>
  <conditionalFormatting sqref="AA114">
    <cfRule type="cellIs" dxfId="1" priority="1111" operator="between">
      <formula>NOW()</formula>
      <formula>NOW()+365</formula>
    </cfRule>
  </conditionalFormatting>
  <conditionalFormatting sqref="N115">
    <cfRule type="expression" dxfId="0" priority="1120" stopIfTrue="1">
      <formula>NOT(OR(LEN(N115)=18,LEN(N115)=15,LEN(N115)=0))</formula>
    </cfRule>
    <cfRule type="duplicateValues" dxfId="1" priority="1121"/>
  </conditionalFormatting>
  <conditionalFormatting sqref="AA115">
    <cfRule type="cellIs" dxfId="1" priority="1119" operator="between">
      <formula>NOW()</formula>
      <formula>NOW()+365</formula>
    </cfRule>
  </conditionalFormatting>
  <conditionalFormatting sqref="N116">
    <cfRule type="expression" dxfId="0" priority="1116" stopIfTrue="1">
      <formula>NOT(OR(LEN(N116)=18,LEN(N116)=15,LEN(N116)=0))</formula>
    </cfRule>
    <cfRule type="duplicateValues" dxfId="1" priority="1117"/>
  </conditionalFormatting>
  <conditionalFormatting sqref="AA116">
    <cfRule type="cellIs" dxfId="1" priority="1115" operator="between">
      <formula>NOW()</formula>
      <formula>NOW()+365</formula>
    </cfRule>
  </conditionalFormatting>
  <conditionalFormatting sqref="N117">
    <cfRule type="expression" dxfId="0" priority="1108" stopIfTrue="1">
      <formula>NOT(OR(LEN(N117)=18,LEN(N117)=15,LEN(N117)=0))</formula>
    </cfRule>
    <cfRule type="duplicateValues" dxfId="1" priority="1109"/>
  </conditionalFormatting>
  <conditionalFormatting sqref="AA117">
    <cfRule type="cellIs" dxfId="1" priority="1107" operator="between">
      <formula>NOW()</formula>
      <formula>NOW()+365</formula>
    </cfRule>
  </conditionalFormatting>
  <conditionalFormatting sqref="N118">
    <cfRule type="expression" dxfId="0" priority="1104" stopIfTrue="1">
      <formula>NOT(OR(LEN(N118)=18,LEN(N118)=15,LEN(N118)=0))</formula>
    </cfRule>
    <cfRule type="duplicateValues" dxfId="1" priority="1105"/>
  </conditionalFormatting>
  <conditionalFormatting sqref="AA118">
    <cfRule type="cellIs" dxfId="1" priority="1103" operator="between">
      <formula>NOW()</formula>
      <formula>NOW()+365</formula>
    </cfRule>
  </conditionalFormatting>
  <conditionalFormatting sqref="N119">
    <cfRule type="expression" dxfId="0" priority="1092" stopIfTrue="1">
      <formula>NOT(OR(LEN(N119)=18,LEN(N119)=15,LEN(N119)=0))</formula>
    </cfRule>
    <cfRule type="duplicateValues" dxfId="1" priority="1093"/>
  </conditionalFormatting>
  <conditionalFormatting sqref="AA119">
    <cfRule type="cellIs" dxfId="1" priority="1090" operator="between">
      <formula>NOW()</formula>
      <formula>NOW()+365</formula>
    </cfRule>
  </conditionalFormatting>
  <conditionalFormatting sqref="N120">
    <cfRule type="expression" dxfId="0" priority="1096" stopIfTrue="1">
      <formula>NOT(OR(LEN(N120)=18,LEN(N120)=15,LEN(N120)=0))</formula>
    </cfRule>
    <cfRule type="duplicateValues" dxfId="1" priority="1097"/>
  </conditionalFormatting>
  <conditionalFormatting sqref="AA120">
    <cfRule type="cellIs" dxfId="1" priority="1095" operator="between">
      <formula>NOW()</formula>
      <formula>NOW()+365</formula>
    </cfRule>
  </conditionalFormatting>
  <conditionalFormatting sqref="N121">
    <cfRule type="expression" dxfId="0" priority="1100" stopIfTrue="1">
      <formula>NOT(OR(LEN(N121)=18,LEN(N121)=15,LEN(N121)=0))</formula>
    </cfRule>
    <cfRule type="duplicateValues" dxfId="1" priority="1101"/>
  </conditionalFormatting>
  <conditionalFormatting sqref="AA121">
    <cfRule type="cellIs" dxfId="1" priority="1099" operator="between">
      <formula>NOW()</formula>
      <formula>NOW()+365</formula>
    </cfRule>
  </conditionalFormatting>
  <conditionalFormatting sqref="N122">
    <cfRule type="expression" dxfId="0" priority="1087" stopIfTrue="1">
      <formula>NOT(OR(LEN(N122)=18,LEN(N122)=15,LEN(N122)=0))</formula>
    </cfRule>
    <cfRule type="duplicateValues" dxfId="1" priority="1088"/>
  </conditionalFormatting>
  <conditionalFormatting sqref="AA122">
    <cfRule type="cellIs" dxfId="1" priority="1086" operator="between">
      <formula>NOW()</formula>
      <formula>NOW()+365</formula>
    </cfRule>
  </conditionalFormatting>
  <conditionalFormatting sqref="N123">
    <cfRule type="duplicateValues" dxfId="1" priority="1081"/>
    <cfRule type="expression" dxfId="0" priority="6225" stopIfTrue="1">
      <formula>NOT(OR(LEN(N127)=18,LEN(N127)=15,LEN(N127)=0))</formula>
    </cfRule>
  </conditionalFormatting>
  <conditionalFormatting sqref="AA123">
    <cfRule type="cellIs" dxfId="1" priority="1078" operator="between">
      <formula>NOW()</formula>
      <formula>NOW()+365</formula>
    </cfRule>
  </conditionalFormatting>
  <conditionalFormatting sqref="N124">
    <cfRule type="expression" dxfId="0" priority="1084" stopIfTrue="1">
      <formula>NOT(OR(LEN(N124)=18,LEN(N124)=15,LEN(N124)=0))</formula>
    </cfRule>
    <cfRule type="duplicateValues" dxfId="1" priority="1085"/>
  </conditionalFormatting>
  <conditionalFormatting sqref="AA124">
    <cfRule type="cellIs" dxfId="1" priority="1083" operator="between">
      <formula>NOW()</formula>
      <formula>NOW()+365</formula>
    </cfRule>
  </conditionalFormatting>
  <conditionalFormatting sqref="N125">
    <cfRule type="duplicateValues" dxfId="1" priority="1069"/>
    <cfRule type="expression" dxfId="0" priority="6283" stopIfTrue="1">
      <formula>NOT(OR(LEN(N139)=18,LEN(N139)=15,LEN(N139)=0))</formula>
    </cfRule>
  </conditionalFormatting>
  <conditionalFormatting sqref="AA125">
    <cfRule type="cellIs" dxfId="1" priority="1067" operator="between">
      <formula>NOW()</formula>
      <formula>NOW()+365</formula>
    </cfRule>
  </conditionalFormatting>
  <conditionalFormatting sqref="N126">
    <cfRule type="duplicateValues" dxfId="1" priority="1065"/>
  </conditionalFormatting>
  <conditionalFormatting sqref="AA126">
    <cfRule type="cellIs" dxfId="1" priority="1063" operator="between">
      <formula>NOW()</formula>
      <formula>NOW()+365</formula>
    </cfRule>
  </conditionalFormatting>
  <conditionalFormatting sqref="N127">
    <cfRule type="duplicateValues" dxfId="1" priority="1053"/>
  </conditionalFormatting>
  <conditionalFormatting sqref="AA127">
    <cfRule type="cellIs" dxfId="1" priority="1051" operator="between">
      <formula>NOW()</formula>
      <formula>NOW()+365</formula>
    </cfRule>
  </conditionalFormatting>
  <conditionalFormatting sqref="N128">
    <cfRule type="expression" dxfId="0" priority="1048" stopIfTrue="1">
      <formula>NOT(OR(LEN(N128)=18,LEN(N128)=15,LEN(N128)=0))</formula>
    </cfRule>
    <cfRule type="duplicateValues" dxfId="1" priority="1049"/>
  </conditionalFormatting>
  <conditionalFormatting sqref="AA128">
    <cfRule type="cellIs" dxfId="1" priority="1047" operator="between">
      <formula>NOW()</formula>
      <formula>NOW()+365</formula>
    </cfRule>
  </conditionalFormatting>
  <conditionalFormatting sqref="N129">
    <cfRule type="duplicateValues" dxfId="1" priority="1061"/>
    <cfRule type="expression" dxfId="0" priority="6284" stopIfTrue="1">
      <formula>NOT(OR(LEN('[\Users\hanxiaoguang\Desktop\工资单\10月\Users\yinhema\Desktop\C:\Users\Shuyang Du\Desktop\员工信息表-V20160801－lsh.xlsx]INCUMBENT (2)'!#REF!)=18,LEN('[\Users\hanxiaoguang\Desktop\工资单\10月\Users\yinhema\Desktop\C:\Users\Shuyang Du\Desktop\员工信息表-V20160801－lsh.xlsx]INCUMBENT (2)'!#REF!)=15,LEN('[\Users\hanxiaoguang\Desktop\工资单\10月\Users\yinhema\Desktop\C:\Users\Shuyang Du\Desktop\员工信息表-V20160801－lsh.xlsx]INCUMBENT (2)'!#REF!)=0))</formula>
    </cfRule>
  </conditionalFormatting>
  <conditionalFormatting sqref="AA129">
    <cfRule type="cellIs" dxfId="1" priority="1059" operator="between">
      <formula>NOW()</formula>
      <formula>NOW()+365</formula>
    </cfRule>
  </conditionalFormatting>
  <conditionalFormatting sqref="N130">
    <cfRule type="expression" dxfId="0" priority="1056" stopIfTrue="1">
      <formula>NOT(OR(LEN(N130)=18,LEN(N130)=15,LEN(N130)=0))</formula>
    </cfRule>
    <cfRule type="duplicateValues" dxfId="1" priority="1057"/>
  </conditionalFormatting>
  <conditionalFormatting sqref="AA130">
    <cfRule type="cellIs" dxfId="1" priority="1055" operator="between">
      <formula>NOW()</formula>
      <formula>NOW()+365</formula>
    </cfRule>
  </conditionalFormatting>
  <conditionalFormatting sqref="N131">
    <cfRule type="expression" dxfId="0" priority="1076" stopIfTrue="1">
      <formula>NOT(OR(LEN(N131)=18,LEN(N131)=15,LEN(N131)=0))</formula>
    </cfRule>
    <cfRule type="duplicateValues" dxfId="1" priority="1077"/>
  </conditionalFormatting>
  <conditionalFormatting sqref="AA131">
    <cfRule type="cellIs" dxfId="1" priority="1074" operator="between">
      <formula>NOW()</formula>
      <formula>NOW()+365</formula>
    </cfRule>
  </conditionalFormatting>
  <conditionalFormatting sqref="N132">
    <cfRule type="expression" dxfId="0" priority="1072" stopIfTrue="1">
      <formula>NOT(OR(LEN(N132)=18,LEN(N132)=15,LEN(N132)=0))</formula>
    </cfRule>
    <cfRule type="duplicateValues" dxfId="1" priority="6246"/>
  </conditionalFormatting>
  <conditionalFormatting sqref="AA132">
    <cfRule type="cellIs" dxfId="1" priority="1071" operator="between">
      <formula>NOW()</formula>
      <formula>NOW()+365</formula>
    </cfRule>
  </conditionalFormatting>
  <conditionalFormatting sqref="N133">
    <cfRule type="duplicateValues" dxfId="1" priority="1029"/>
  </conditionalFormatting>
  <conditionalFormatting sqref="AA133">
    <cfRule type="cellIs" dxfId="1" priority="1026" operator="between">
      <formula>NOW()</formula>
      <formula>NOW()+365</formula>
    </cfRule>
  </conditionalFormatting>
  <conditionalFormatting sqref="N134">
    <cfRule type="duplicateValues" dxfId="1" priority="1025"/>
    <cfRule type="expression" dxfId="0" priority="6290" stopIfTrue="1">
      <formula>NOT(OR(LEN('[\Users\hanxiaoguang\Desktop\工资单\10月\Users\yinhema\Desktop\C:\Users\Shuyang Du\Desktop\员工信息表-V20160801－lsh.xlsx]INCUMBENT (2)'!#REF!)=18,LEN('[\Users\hanxiaoguang\Desktop\工资单\10月\Users\yinhema\Desktop\C:\Users\Shuyang Du\Desktop\员工信息表-V20160801－lsh.xlsx]INCUMBENT (2)'!#REF!)=15,LEN('[\Users\hanxiaoguang\Desktop\工资单\10月\Users\yinhema\Desktop\C:\Users\Shuyang Du\Desktop\员工信息表-V20160801－lsh.xlsx]INCUMBENT (2)'!#REF!)=0))</formula>
    </cfRule>
  </conditionalFormatting>
  <conditionalFormatting sqref="AA134">
    <cfRule type="cellIs" dxfId="1" priority="1022" operator="between">
      <formula>NOW()</formula>
      <formula>NOW()+365</formula>
    </cfRule>
  </conditionalFormatting>
  <conditionalFormatting sqref="N135">
    <cfRule type="duplicateValues" dxfId="1" priority="1039"/>
    <cfRule type="expression" dxfId="0" priority="6287" stopIfTrue="1">
      <formula>NOT(OR(LEN('[\Users\hanxiaoguang\Desktop\工资单\10月\Users\yinhema\Desktop\C:\Users\Shuyang Du\Desktop\员工信息表-V20160801－lsh.xlsx]INCUMBENT (2)'!#REF!)=18,LEN('[\Users\hanxiaoguang\Desktop\工资单\10月\Users\yinhema\Desktop\C:\Users\Shuyang Du\Desktop\员工信息表-V20160801－lsh.xlsx]INCUMBENT (2)'!#REF!)=15,LEN('[\Users\hanxiaoguang\Desktop\工资单\10月\Users\yinhema\Desktop\C:\Users\Shuyang Du\Desktop\员工信息表-V20160801－lsh.xlsx]INCUMBENT (2)'!#REF!)=0))</formula>
    </cfRule>
  </conditionalFormatting>
  <conditionalFormatting sqref="AA135">
    <cfRule type="cellIs" dxfId="1" priority="1038" operator="between">
      <formula>NOW()</formula>
      <formula>NOW()+365</formula>
    </cfRule>
  </conditionalFormatting>
  <conditionalFormatting sqref="N136">
    <cfRule type="expression" dxfId="0" priority="1035" stopIfTrue="1">
      <formula>NOT(OR(LEN(N136)=18,LEN(N136)=15,LEN(N136)=0))</formula>
    </cfRule>
    <cfRule type="duplicateValues" dxfId="1" priority="1036"/>
  </conditionalFormatting>
  <conditionalFormatting sqref="AA136">
    <cfRule type="cellIs" dxfId="1" priority="1034" operator="between">
      <formula>NOW()</formula>
      <formula>NOW()+365</formula>
    </cfRule>
  </conditionalFormatting>
  <conditionalFormatting sqref="N137">
    <cfRule type="expression" dxfId="0" priority="1032" stopIfTrue="1">
      <formula>NOT(OR(LEN(N137)=18,LEN(N137)=15,LEN(N137)=0))</formula>
    </cfRule>
    <cfRule type="duplicateValues" dxfId="1" priority="1033"/>
  </conditionalFormatting>
  <conditionalFormatting sqref="AA137">
    <cfRule type="cellIs" dxfId="1" priority="1031" operator="between">
      <formula>NOW()</formula>
      <formula>NOW()+365</formula>
    </cfRule>
  </conditionalFormatting>
  <conditionalFormatting sqref="N138">
    <cfRule type="expression" dxfId="0" priority="1044" stopIfTrue="1">
      <formula>NOT(OR(LEN(N138)=18,LEN(N138)=15,LEN(N138)=0))</formula>
    </cfRule>
    <cfRule type="duplicateValues" dxfId="1" priority="1045"/>
  </conditionalFormatting>
  <conditionalFormatting sqref="AA138">
    <cfRule type="cellIs" dxfId="1" priority="1042" operator="between">
      <formula>NOW()</formula>
      <formula>NOW()+365</formula>
    </cfRule>
  </conditionalFormatting>
  <conditionalFormatting sqref="N139">
    <cfRule type="expression" dxfId="0" priority="1020" stopIfTrue="1">
      <formula>NOT(OR(LEN(N139)=18,LEN(N139)=15,LEN(N139)=0))</formula>
    </cfRule>
    <cfRule type="duplicateValues" dxfId="1" priority="1021"/>
  </conditionalFormatting>
  <conditionalFormatting sqref="AA139">
    <cfRule type="cellIs" dxfId="1" priority="1019" operator="between">
      <formula>NOW()</formula>
      <formula>NOW()+365</formula>
    </cfRule>
  </conditionalFormatting>
  <conditionalFormatting sqref="N140">
    <cfRule type="duplicateValues" dxfId="1" priority="1015"/>
    <cfRule type="expression" dxfId="0" priority="1017" stopIfTrue="1">
      <formula>NOT(OR(LEN(N140)=18,LEN(N140)=15,LEN(N140)=0))</formula>
    </cfRule>
  </conditionalFormatting>
  <conditionalFormatting sqref="AA140">
    <cfRule type="cellIs" dxfId="1" priority="1014" operator="between">
      <formula>NOW()</formula>
      <formula>NOW()+365</formula>
    </cfRule>
  </conditionalFormatting>
  <conditionalFormatting sqref="N141">
    <cfRule type="duplicateValues" dxfId="1" priority="1009"/>
  </conditionalFormatting>
  <conditionalFormatting sqref="AA141">
    <cfRule type="cellIs" dxfId="1" priority="1007" operator="between">
      <formula>NOW()</formula>
      <formula>NOW()+365</formula>
    </cfRule>
  </conditionalFormatting>
  <conditionalFormatting sqref="N142">
    <cfRule type="expression" dxfId="0" priority="1000" stopIfTrue="1">
      <formula>NOT(OR(LEN(N142)=18,LEN(N142)=15,LEN(N142)=0))</formula>
    </cfRule>
    <cfRule type="duplicateValues" dxfId="1" priority="1001"/>
  </conditionalFormatting>
  <conditionalFormatting sqref="AA142">
    <cfRule type="cellIs" dxfId="1" priority="999" operator="between">
      <formula>NOW()</formula>
      <formula>NOW()+365</formula>
    </cfRule>
  </conditionalFormatting>
  <conditionalFormatting sqref="N143">
    <cfRule type="expression" dxfId="0" priority="1004" stopIfTrue="1">
      <formula>NOT(OR(LEN(N143)=18,LEN(N143)=15,LEN(N143)=0))</formula>
    </cfRule>
    <cfRule type="duplicateValues" dxfId="1" priority="1005"/>
  </conditionalFormatting>
  <conditionalFormatting sqref="AA143">
    <cfRule type="cellIs" dxfId="1" priority="1003" operator="between">
      <formula>NOW()</formula>
      <formula>NOW()+365</formula>
    </cfRule>
  </conditionalFormatting>
  <conditionalFormatting sqref="N144">
    <cfRule type="expression" dxfId="0" priority="996" stopIfTrue="1">
      <formula>NOT(OR(LEN(N144)=18,LEN(N144)=15,LEN(N144)=0))</formula>
    </cfRule>
    <cfRule type="duplicateValues" dxfId="1" priority="997"/>
  </conditionalFormatting>
  <conditionalFormatting sqref="AA144">
    <cfRule type="cellIs" dxfId="1" priority="995" operator="between">
      <formula>NOW()</formula>
      <formula>NOW()+365</formula>
    </cfRule>
  </conditionalFormatting>
  <conditionalFormatting sqref="N145">
    <cfRule type="expression" dxfId="0" priority="992" stopIfTrue="1">
      <formula>NOT(OR(LEN(N145)=18,LEN(N145)=15,LEN(N145)=0))</formula>
    </cfRule>
    <cfRule type="duplicateValues" dxfId="1" priority="993"/>
  </conditionalFormatting>
  <conditionalFormatting sqref="AA145">
    <cfRule type="cellIs" dxfId="1" priority="991" operator="between">
      <formula>NOW()</formula>
      <formula>NOW()+365</formula>
    </cfRule>
  </conditionalFormatting>
  <conditionalFormatting sqref="N146">
    <cfRule type="expression" dxfId="0" priority="972" stopIfTrue="1">
      <formula>NOT(OR(LEN(N146)=18,LEN(N146)=15,LEN(N146)=0))</formula>
    </cfRule>
    <cfRule type="duplicateValues" dxfId="1" priority="973"/>
  </conditionalFormatting>
  <conditionalFormatting sqref="AA146">
    <cfRule type="cellIs" dxfId="1" priority="970" operator="between">
      <formula>NOW()</formula>
      <formula>NOW()+365</formula>
    </cfRule>
  </conditionalFormatting>
  <conditionalFormatting sqref="N147">
    <cfRule type="expression" dxfId="0" priority="984" stopIfTrue="1">
      <formula>NOT(OR(LEN(N147)=18,LEN(N147)=15,LEN(N147)=0))</formula>
    </cfRule>
    <cfRule type="duplicateValues" dxfId="1" priority="985"/>
  </conditionalFormatting>
  <conditionalFormatting sqref="AA147">
    <cfRule type="cellIs" dxfId="1" priority="983" operator="between">
      <formula>NOW()</formula>
      <formula>NOW()+365</formula>
    </cfRule>
  </conditionalFormatting>
  <conditionalFormatting sqref="N148">
    <cfRule type="expression" dxfId="0" priority="976" stopIfTrue="1">
      <formula>NOT(OR(LEN(N148)=18,LEN(N148)=15,LEN(N148)=0))</formula>
    </cfRule>
    <cfRule type="duplicateValues" dxfId="1" priority="977"/>
  </conditionalFormatting>
  <conditionalFormatting sqref="AA148">
    <cfRule type="cellIs" dxfId="1" priority="975" operator="between">
      <formula>NOW()</formula>
      <formula>NOW()+365</formula>
    </cfRule>
  </conditionalFormatting>
  <conditionalFormatting sqref="N149">
    <cfRule type="expression" dxfId="0" priority="980" stopIfTrue="1">
      <formula>NOT(OR(LEN(N149)=18,LEN(N149)=15,LEN(N149)=0))</formula>
    </cfRule>
    <cfRule type="duplicateValues" dxfId="1" priority="981"/>
  </conditionalFormatting>
  <conditionalFormatting sqref="AA149">
    <cfRule type="cellIs" dxfId="1" priority="979" operator="between">
      <formula>NOW()</formula>
      <formula>NOW()+365</formula>
    </cfRule>
  </conditionalFormatting>
  <conditionalFormatting sqref="N150">
    <cfRule type="expression" dxfId="0" priority="968" stopIfTrue="1">
      <formula>NOT(OR(LEN(N150)=18,LEN(N150)=15,LEN(N150)=0))</formula>
    </cfRule>
    <cfRule type="duplicateValues" dxfId="1" priority="969"/>
  </conditionalFormatting>
  <conditionalFormatting sqref="AA150">
    <cfRule type="cellIs" dxfId="1" priority="966" operator="between">
      <formula>NOW()</formula>
      <formula>NOW()+365</formula>
    </cfRule>
  </conditionalFormatting>
  <conditionalFormatting sqref="N151">
    <cfRule type="duplicateValues" dxfId="1" priority="964"/>
    <cfRule type="expression" dxfId="0" priority="965" stopIfTrue="1">
      <formula>NOT(OR(LEN(N151)=18,LEN(N151)=15,LEN(N151)=0))</formula>
    </cfRule>
  </conditionalFormatting>
  <conditionalFormatting sqref="AA151">
    <cfRule type="cellIs" dxfId="1" priority="963" operator="between">
      <formula>NOW()</formula>
      <formula>NOW()+365</formula>
    </cfRule>
  </conditionalFormatting>
  <conditionalFormatting sqref="N152">
    <cfRule type="expression" dxfId="0" priority="960" stopIfTrue="1">
      <formula>NOT(OR(LEN(N152)=18,LEN(N152)=15,LEN(N152)=0))</formula>
    </cfRule>
    <cfRule type="duplicateValues" dxfId="1" priority="961"/>
  </conditionalFormatting>
  <conditionalFormatting sqref="AA152">
    <cfRule type="cellIs" dxfId="1" priority="959" operator="between">
      <formula>NOW()</formula>
      <formula>NOW()+365</formula>
    </cfRule>
  </conditionalFormatting>
  <conditionalFormatting sqref="N153">
    <cfRule type="expression" dxfId="0" priority="956" stopIfTrue="1">
      <formula>NOT(OR(LEN(N153)=18,LEN(N153)=15,LEN(N153)=0))</formula>
    </cfRule>
    <cfRule type="duplicateValues" dxfId="1" priority="957"/>
  </conditionalFormatting>
  <conditionalFormatting sqref="AA153">
    <cfRule type="cellIs" dxfId="1" priority="955" operator="between">
      <formula>NOW()</formula>
      <formula>NOW()+365</formula>
    </cfRule>
  </conditionalFormatting>
  <conditionalFormatting sqref="N154">
    <cfRule type="duplicateValues" dxfId="1" priority="949"/>
    <cfRule type="expression" dxfId="0" priority="6753" stopIfTrue="1">
      <formula>NOT(OR(LEN('INCUMBENT '!#REF!)=18,LEN('INCUMBENT '!#REF!)=15,LEN('INCUMBENT '!#REF!)=0))</formula>
    </cfRule>
  </conditionalFormatting>
  <conditionalFormatting sqref="AA154">
    <cfRule type="cellIs" dxfId="1" priority="947" operator="between">
      <formula>NOW()</formula>
      <formula>NOW()+365</formula>
    </cfRule>
  </conditionalFormatting>
  <conditionalFormatting sqref="L155">
    <cfRule type="cellIs" dxfId="4" priority="941" operator="between">
      <formula>NOW()-14</formula>
      <formula>NOW()+30</formula>
    </cfRule>
  </conditionalFormatting>
  <conditionalFormatting sqref="N155">
    <cfRule type="expression" dxfId="0" priority="944" stopIfTrue="1">
      <formula>NOT(OR(LEN(N155)=18,LEN(N155)=15,LEN(N155)=0))</formula>
    </cfRule>
    <cfRule type="duplicateValues" dxfId="1" priority="945"/>
  </conditionalFormatting>
  <conditionalFormatting sqref="AA155">
    <cfRule type="cellIs" dxfId="1" priority="943" operator="between">
      <formula>NOW()</formula>
      <formula>NOW()+365</formula>
    </cfRule>
  </conditionalFormatting>
  <conditionalFormatting sqref="N156">
    <cfRule type="expression" dxfId="0" priority="939" stopIfTrue="1">
      <formula>NOT(OR(LEN(N156)=18,LEN(N156)=15,LEN(N156)=0))</formula>
    </cfRule>
    <cfRule type="duplicateValues" dxfId="1" priority="940"/>
  </conditionalFormatting>
  <conditionalFormatting sqref="AA156">
    <cfRule type="cellIs" dxfId="1" priority="938" operator="between">
      <formula>NOW()</formula>
      <formula>NOW()+365</formula>
    </cfRule>
  </conditionalFormatting>
  <conditionalFormatting sqref="N157">
    <cfRule type="expression" dxfId="0" priority="935" stopIfTrue="1">
      <formula>NOT(OR(LEN(N157)=18,LEN(N157)=15,LEN(N157)=0))</formula>
    </cfRule>
    <cfRule type="duplicateValues" dxfId="1" priority="936"/>
  </conditionalFormatting>
  <conditionalFormatting sqref="AA157">
    <cfRule type="cellIs" dxfId="1" priority="933" operator="between">
      <formula>NOW()</formula>
      <formula>NOW()+365</formula>
    </cfRule>
  </conditionalFormatting>
  <conditionalFormatting sqref="N158">
    <cfRule type="expression" dxfId="0" priority="931" stopIfTrue="1">
      <formula>NOT(OR(LEN(N158)=18,LEN(N158)=15,LEN(N158)=0))</formula>
    </cfRule>
    <cfRule type="duplicateValues" dxfId="1" priority="932"/>
  </conditionalFormatting>
  <conditionalFormatting sqref="AA158">
    <cfRule type="cellIs" dxfId="1" priority="930" operator="between">
      <formula>NOW()</formula>
      <formula>NOW()+365</formula>
    </cfRule>
  </conditionalFormatting>
  <conditionalFormatting sqref="N159">
    <cfRule type="expression" dxfId="0" priority="927" stopIfTrue="1">
      <formula>NOT(OR(LEN(N159)=18,LEN(N159)=15,LEN(N159)=0))</formula>
    </cfRule>
    <cfRule type="duplicateValues" dxfId="1" priority="928"/>
  </conditionalFormatting>
  <conditionalFormatting sqref="AA159">
    <cfRule type="cellIs" dxfId="1" priority="926" operator="between">
      <formula>NOW()</formula>
      <formula>NOW()+365</formula>
    </cfRule>
  </conditionalFormatting>
  <conditionalFormatting sqref="N184">
    <cfRule type="expression" dxfId="2" priority="913" stopIfTrue="1">
      <formula>NOT(OR(LEN(N184)=18,LEN(N184)=15,LEN(N184)=0))</formula>
    </cfRule>
  </conditionalFormatting>
  <conditionalFormatting sqref="AA184">
    <cfRule type="cellIs" dxfId="3" priority="912" stopIfTrue="1" operator="between">
      <formula>NOW()</formula>
      <formula>NOW()+365</formula>
    </cfRule>
  </conditionalFormatting>
  <conditionalFormatting sqref="N185">
    <cfRule type="expression" dxfId="0" priority="893" stopIfTrue="1">
      <formula>NOT(OR(LEN(N185)=18,LEN(N185)=15,LEN(N185)=0))</formula>
    </cfRule>
    <cfRule type="duplicateValues" dxfId="1" priority="894"/>
  </conditionalFormatting>
  <conditionalFormatting sqref="AA185">
    <cfRule type="cellIs" dxfId="1" priority="892" operator="between">
      <formula>NOW()</formula>
      <formula>NOW()+365</formula>
    </cfRule>
  </conditionalFormatting>
  <conditionalFormatting sqref="N186">
    <cfRule type="expression" dxfId="0" priority="889" stopIfTrue="1">
      <formula>NOT(OR(LEN(N186)=18,LEN(N186)=15,LEN(N186)=0))</formula>
    </cfRule>
    <cfRule type="duplicateValues" dxfId="1" priority="890"/>
  </conditionalFormatting>
  <conditionalFormatting sqref="AA186">
    <cfRule type="cellIs" dxfId="1" priority="888" operator="between">
      <formula>NOW()</formula>
      <formula>NOW()+365</formula>
    </cfRule>
  </conditionalFormatting>
  <conditionalFormatting sqref="N187">
    <cfRule type="expression" dxfId="0" priority="881" stopIfTrue="1">
      <formula>NOT(OR(LEN(N187)=18,LEN(N187)=15,LEN(N187)=0))</formula>
    </cfRule>
    <cfRule type="duplicateValues" dxfId="1" priority="882"/>
  </conditionalFormatting>
  <conditionalFormatting sqref="AA187">
    <cfRule type="cellIs" dxfId="1" priority="880" operator="between">
      <formula>NOW()</formula>
      <formula>NOW()+365</formula>
    </cfRule>
  </conditionalFormatting>
  <conditionalFormatting sqref="N188">
    <cfRule type="expression" dxfId="0" priority="877" stopIfTrue="1">
      <formula>NOT(OR(LEN(N188)=18,LEN(N188)=15,LEN(N188)=0))</formula>
    </cfRule>
    <cfRule type="duplicateValues" dxfId="1" priority="878"/>
  </conditionalFormatting>
  <conditionalFormatting sqref="AA188">
    <cfRule type="cellIs" dxfId="1" priority="876" operator="between">
      <formula>NOW()</formula>
      <formula>NOW()+365</formula>
    </cfRule>
  </conditionalFormatting>
  <conditionalFormatting sqref="N189">
    <cfRule type="expression" dxfId="0" priority="885" stopIfTrue="1">
      <formula>NOT(OR(LEN(N189)=18,LEN(N189)=15,LEN(N189)=0))</formula>
    </cfRule>
    <cfRule type="duplicateValues" dxfId="1" priority="886"/>
  </conditionalFormatting>
  <conditionalFormatting sqref="AA189">
    <cfRule type="cellIs" dxfId="1" priority="884" operator="between">
      <formula>NOW()</formula>
      <formula>NOW()+365</formula>
    </cfRule>
  </conditionalFormatting>
  <conditionalFormatting sqref="N190">
    <cfRule type="expression" dxfId="0" priority="811" stopIfTrue="1">
      <formula>NOT(OR(LEN(N190)=18,LEN(N190)=15,LEN(N190)=0))</formula>
    </cfRule>
    <cfRule type="duplicateValues" dxfId="1" priority="812"/>
  </conditionalFormatting>
  <conditionalFormatting sqref="AA190">
    <cfRule type="cellIs" dxfId="1" priority="810" operator="between">
      <formula>NOW()</formula>
      <formula>NOW()+365</formula>
    </cfRule>
  </conditionalFormatting>
  <conditionalFormatting sqref="N191">
    <cfRule type="expression" dxfId="0" priority="807" stopIfTrue="1">
      <formula>NOT(OR(LEN(N191)=18,LEN(N191)=15,LEN(N191)=0))</formula>
    </cfRule>
    <cfRule type="duplicateValues" dxfId="1" priority="808"/>
  </conditionalFormatting>
  <conditionalFormatting sqref="AA191">
    <cfRule type="cellIs" dxfId="1" priority="805" operator="between">
      <formula>NOW()</formula>
      <formula>NOW()+365</formula>
    </cfRule>
  </conditionalFormatting>
  <conditionalFormatting sqref="N192">
    <cfRule type="expression" dxfId="0" priority="803" stopIfTrue="1">
      <formula>NOT(OR(LEN(N192)=18,LEN(N192)=15,LEN(N192)=0))</formula>
    </cfRule>
    <cfRule type="duplicateValues" dxfId="1" priority="804"/>
  </conditionalFormatting>
  <conditionalFormatting sqref="AA192">
    <cfRule type="cellIs" dxfId="1" priority="801" operator="between">
      <formula>NOW()</formula>
      <formula>NOW()+365</formula>
    </cfRule>
  </conditionalFormatting>
  <conditionalFormatting sqref="N193">
    <cfRule type="expression" dxfId="0" priority="799" stopIfTrue="1">
      <formula>NOT(OR(LEN(N193)=18,LEN(N193)=15,LEN(N193)=0))</formula>
    </cfRule>
    <cfRule type="duplicateValues" dxfId="1" priority="800"/>
  </conditionalFormatting>
  <conditionalFormatting sqref="AA193">
    <cfRule type="cellIs" dxfId="1" priority="797" operator="between">
      <formula>NOW()</formula>
      <formula>NOW()+365</formula>
    </cfRule>
  </conditionalFormatting>
  <conditionalFormatting sqref="N194">
    <cfRule type="expression" dxfId="0" priority="747" stopIfTrue="1">
      <formula>NOT(OR(LEN(N194)=18,LEN(N194)=15,LEN(N194)=0))</formula>
    </cfRule>
    <cfRule type="duplicateValues" dxfId="1" priority="748"/>
  </conditionalFormatting>
  <conditionalFormatting sqref="AA194">
    <cfRule type="cellIs" dxfId="1" priority="745" operator="between">
      <formula>NOW()</formula>
      <formula>NOW()+365</formula>
    </cfRule>
  </conditionalFormatting>
  <conditionalFormatting sqref="N195">
    <cfRule type="expression" dxfId="0" priority="743" stopIfTrue="1">
      <formula>NOT(OR(LEN(N195)=18,LEN(N195)=15,LEN(N195)=0))</formula>
    </cfRule>
    <cfRule type="duplicateValues" dxfId="1" priority="744"/>
  </conditionalFormatting>
  <conditionalFormatting sqref="AA195">
    <cfRule type="cellIs" dxfId="1" priority="741" operator="between">
      <formula>NOW()</formula>
      <formula>NOW()+365</formula>
    </cfRule>
  </conditionalFormatting>
  <conditionalFormatting sqref="N196">
    <cfRule type="expression" dxfId="0" priority="787" stopIfTrue="1">
      <formula>NOT(OR(LEN(N196)=18,LEN(N196)=15,LEN(N196)=0))</formula>
    </cfRule>
    <cfRule type="duplicateValues" dxfId="1" priority="788"/>
  </conditionalFormatting>
  <conditionalFormatting sqref="AA196">
    <cfRule type="cellIs" dxfId="1" priority="785" operator="between">
      <formula>NOW()</formula>
      <formula>NOW()+365</formula>
    </cfRule>
  </conditionalFormatting>
  <conditionalFormatting sqref="N197">
    <cfRule type="expression" dxfId="0" priority="783" stopIfTrue="1">
      <formula>NOT(OR(LEN(N197)=18,LEN(N197)=15,LEN(N197)=0))</formula>
    </cfRule>
    <cfRule type="duplicateValues" dxfId="1" priority="784"/>
  </conditionalFormatting>
  <conditionalFormatting sqref="AA197">
    <cfRule type="cellIs" dxfId="1" priority="782" operator="between">
      <formula>NOW()</formula>
      <formula>NOW()+365</formula>
    </cfRule>
  </conditionalFormatting>
  <conditionalFormatting sqref="N198">
    <cfRule type="expression" dxfId="0" priority="779" stopIfTrue="1">
      <formula>NOT(OR(LEN(N198)=18,LEN(N198)=15,LEN(N198)=0))</formula>
    </cfRule>
    <cfRule type="duplicateValues" dxfId="1" priority="780"/>
  </conditionalFormatting>
  <conditionalFormatting sqref="AA198">
    <cfRule type="cellIs" dxfId="1" priority="778" operator="between">
      <formula>NOW()</formula>
      <formula>NOW()+365</formula>
    </cfRule>
  </conditionalFormatting>
  <conditionalFormatting sqref="N199">
    <cfRule type="expression" dxfId="0" priority="775" stopIfTrue="1">
      <formula>NOT(OR(LEN(N199)=18,LEN(N199)=15,LEN(N199)=0))</formula>
    </cfRule>
    <cfRule type="duplicateValues" dxfId="1" priority="776"/>
  </conditionalFormatting>
  <conditionalFormatting sqref="AA199">
    <cfRule type="cellIs" dxfId="1" priority="773" operator="between">
      <formula>NOW()</formula>
      <formula>NOW()+365</formula>
    </cfRule>
  </conditionalFormatting>
  <conditionalFormatting sqref="N200">
    <cfRule type="expression" dxfId="0" priority="767" stopIfTrue="1">
      <formula>NOT(OR(LEN(N115)=18,LEN(N115)=15,LEN(N115)=0))</formula>
    </cfRule>
    <cfRule type="duplicateValues" dxfId="1" priority="768"/>
  </conditionalFormatting>
  <conditionalFormatting sqref="AA200">
    <cfRule type="cellIs" dxfId="1" priority="766" operator="between">
      <formula>NOW()</formula>
      <formula>NOW()+365</formula>
    </cfRule>
  </conditionalFormatting>
  <conditionalFormatting sqref="N201">
    <cfRule type="expression" dxfId="0" priority="763" stopIfTrue="1">
      <formula>NOT(OR(LEN(N201)=18,LEN(N201)=15,LEN(N201)=0))</formula>
    </cfRule>
    <cfRule type="duplicateValues" dxfId="1" priority="764"/>
  </conditionalFormatting>
  <conditionalFormatting sqref="AA201">
    <cfRule type="cellIs" dxfId="1" priority="762" operator="between">
      <formula>NOW()</formula>
      <formula>NOW()+365</formula>
    </cfRule>
  </conditionalFormatting>
  <conditionalFormatting sqref="N202">
    <cfRule type="expression" dxfId="0" priority="759" stopIfTrue="1">
      <formula>NOT(OR(LEN(N202)=18,LEN(N202)=15,LEN(N202)=0))</formula>
    </cfRule>
    <cfRule type="duplicateValues" dxfId="1" priority="760"/>
  </conditionalFormatting>
  <conditionalFormatting sqref="AA202">
    <cfRule type="cellIs" dxfId="1" priority="758" operator="between">
      <formula>NOW()</formula>
      <formula>NOW()+365</formula>
    </cfRule>
  </conditionalFormatting>
  <conditionalFormatting sqref="N203">
    <cfRule type="expression" dxfId="0" priority="735" stopIfTrue="1">
      <formula>NOT(OR(LEN(N203)=18,LEN(N203)=15,LEN(N203)=0))</formula>
    </cfRule>
    <cfRule type="duplicateValues" dxfId="1" priority="736"/>
  </conditionalFormatting>
  <conditionalFormatting sqref="AA203">
    <cfRule type="cellIs" dxfId="1" priority="734" operator="between">
      <formula>NOW()</formula>
      <formula>NOW()+365</formula>
    </cfRule>
  </conditionalFormatting>
  <conditionalFormatting sqref="N204">
    <cfRule type="expression" dxfId="0" priority="739" stopIfTrue="1">
      <formula>NOT(OR(LEN(N204)=18,LEN(N204)=15,LEN(N204)=0))</formula>
    </cfRule>
    <cfRule type="duplicateValues" dxfId="1" priority="740"/>
  </conditionalFormatting>
  <conditionalFormatting sqref="AA204">
    <cfRule type="cellIs" dxfId="1" priority="737" operator="between">
      <formula>NOW()</formula>
      <formula>NOW()+365</formula>
    </cfRule>
  </conditionalFormatting>
  <conditionalFormatting sqref="N205">
    <cfRule type="expression" dxfId="0" priority="731" stopIfTrue="1">
      <formula>NOT(OR(LEN(N205)=18,LEN(N205)=15,LEN(N205)=0))</formula>
    </cfRule>
    <cfRule type="duplicateValues" dxfId="1" priority="732"/>
  </conditionalFormatting>
  <conditionalFormatting sqref="AA205">
    <cfRule type="cellIs" dxfId="1" priority="730" operator="between">
      <formula>NOW()</formula>
      <formula>NOW()+365</formula>
    </cfRule>
  </conditionalFormatting>
  <conditionalFormatting sqref="N206">
    <cfRule type="expression" dxfId="0" priority="715" stopIfTrue="1">
      <formula>NOT(OR(LEN(N206)=18,LEN(N206)=15,LEN(N206)=0))</formula>
    </cfRule>
    <cfRule type="duplicateValues" dxfId="1" priority="716"/>
  </conditionalFormatting>
  <conditionalFormatting sqref="AA206">
    <cfRule type="cellIs" dxfId="1" priority="714" operator="between">
      <formula>NOW()</formula>
      <formula>NOW()+365</formula>
    </cfRule>
  </conditionalFormatting>
  <conditionalFormatting sqref="N207">
    <cfRule type="expression" dxfId="0" priority="711" stopIfTrue="1">
      <formula>NOT(OR(LEN(N207)=18,LEN(N207)=15,LEN(N207)=0))</formula>
    </cfRule>
    <cfRule type="duplicateValues" dxfId="1" priority="712"/>
  </conditionalFormatting>
  <conditionalFormatting sqref="AA207">
    <cfRule type="cellIs" dxfId="1" priority="710" operator="between">
      <formula>NOW()</formula>
      <formula>NOW()+365</formula>
    </cfRule>
  </conditionalFormatting>
  <conditionalFormatting sqref="N208">
    <cfRule type="expression" dxfId="0" priority="719" stopIfTrue="1">
      <formula>NOT(OR(LEN(N208)=18,LEN(N208)=15,LEN(N208)=0))</formula>
    </cfRule>
    <cfRule type="duplicateValues" dxfId="1" priority="720"/>
  </conditionalFormatting>
  <conditionalFormatting sqref="AA208">
    <cfRule type="cellIs" dxfId="1" priority="718" operator="between">
      <formula>NOW()</formula>
      <formula>NOW()+365</formula>
    </cfRule>
  </conditionalFormatting>
  <conditionalFormatting sqref="N209">
    <cfRule type="expression" dxfId="0" priority="695" stopIfTrue="1">
      <formula>NOT(OR(LEN(N209)=18,LEN(N209)=15,LEN(N209)=0))</formula>
    </cfRule>
    <cfRule type="duplicateValues" dxfId="1" priority="696"/>
  </conditionalFormatting>
  <conditionalFormatting sqref="AA209">
    <cfRule type="cellIs" dxfId="1" priority="694" operator="between">
      <formula>NOW()</formula>
      <formula>NOW()+365</formula>
    </cfRule>
  </conditionalFormatting>
  <conditionalFormatting sqref="N210">
    <cfRule type="expression" dxfId="0" priority="691" stopIfTrue="1">
      <formula>NOT(OR(LEN(N210)=18,LEN(N210)=15,LEN(N210)=0))</formula>
    </cfRule>
    <cfRule type="duplicateValues" dxfId="1" priority="692"/>
  </conditionalFormatting>
  <conditionalFormatting sqref="AA210">
    <cfRule type="cellIs" dxfId="1" priority="690" operator="between">
      <formula>NOW()</formula>
      <formula>NOW()+365</formula>
    </cfRule>
  </conditionalFormatting>
  <conditionalFormatting sqref="N211">
    <cfRule type="expression" dxfId="0" priority="687" stopIfTrue="1">
      <formula>NOT(OR(LEN(N211)=18,LEN(N211)=15,LEN(N211)=0))</formula>
    </cfRule>
    <cfRule type="duplicateValues" dxfId="1" priority="688"/>
  </conditionalFormatting>
  <conditionalFormatting sqref="AA211">
    <cfRule type="cellIs" dxfId="1" priority="686" operator="between">
      <formula>NOW()</formula>
      <formula>NOW()+365</formula>
    </cfRule>
  </conditionalFormatting>
  <conditionalFormatting sqref="N212">
    <cfRule type="expression" dxfId="0" priority="679" stopIfTrue="1">
      <formula>NOT(OR(LEN(N212)=18,LEN(N212)=15,LEN(N212)=0))</formula>
    </cfRule>
    <cfRule type="duplicateValues" dxfId="1" priority="680"/>
  </conditionalFormatting>
  <conditionalFormatting sqref="AA212">
    <cfRule type="cellIs" dxfId="1" priority="678" operator="between">
      <formula>NOW()</formula>
      <formula>NOW()+365</formula>
    </cfRule>
  </conditionalFormatting>
  <conditionalFormatting sqref="N213">
    <cfRule type="expression" dxfId="0" priority="671" stopIfTrue="1">
      <formula>NOT(OR(LEN(N213)=18,LEN(N213)=15,LEN(N213)=0))</formula>
    </cfRule>
    <cfRule type="duplicateValues" dxfId="1" priority="672"/>
  </conditionalFormatting>
  <conditionalFormatting sqref="AA213">
    <cfRule type="cellIs" dxfId="1" priority="670" operator="between">
      <formula>NOW()</formula>
      <formula>NOW()+365</formula>
    </cfRule>
  </conditionalFormatting>
  <conditionalFormatting sqref="N214">
    <cfRule type="expression" dxfId="0" priority="655" stopIfTrue="1">
      <formula>NOT(OR(LEN(N214)=18,LEN(N214)=15,LEN(N214)=0))</formula>
    </cfRule>
    <cfRule type="duplicateValues" dxfId="1" priority="656"/>
  </conditionalFormatting>
  <conditionalFormatting sqref="AA214">
    <cfRule type="cellIs" dxfId="1" priority="654" operator="between">
      <formula>NOW()</formula>
      <formula>NOW()+365</formula>
    </cfRule>
  </conditionalFormatting>
  <conditionalFormatting sqref="N215">
    <cfRule type="expression" dxfId="0" priority="651" stopIfTrue="1">
      <formula>NOT(OR(LEN(N215)=18,LEN(N215)=15,LEN(N215)=0))</formula>
    </cfRule>
    <cfRule type="duplicateValues" dxfId="1" priority="652"/>
  </conditionalFormatting>
  <conditionalFormatting sqref="AA215">
    <cfRule type="cellIs" dxfId="1" priority="650" operator="between">
      <formula>NOW()</formula>
      <formula>NOW()+365</formula>
    </cfRule>
  </conditionalFormatting>
  <conditionalFormatting sqref="N216">
    <cfRule type="expression" dxfId="0" priority="647" stopIfTrue="1">
      <formula>NOT(OR(LEN(N216)=18,LEN(N216)=15,LEN(N216)=0))</formula>
    </cfRule>
    <cfRule type="duplicateValues" dxfId="1" priority="648"/>
  </conditionalFormatting>
  <conditionalFormatting sqref="AA216">
    <cfRule type="cellIs" dxfId="1" priority="646" operator="between">
      <formula>NOW()</formula>
      <formula>NOW()+365</formula>
    </cfRule>
  </conditionalFormatting>
  <conditionalFormatting sqref="N217">
    <cfRule type="expression" dxfId="0" priority="623" stopIfTrue="1">
      <formula>NOT(OR(LEN(N217)=18,LEN(N217)=15,LEN(N217)=0))</formula>
    </cfRule>
    <cfRule type="duplicateValues" dxfId="1" priority="624"/>
  </conditionalFormatting>
  <conditionalFormatting sqref="AA217">
    <cfRule type="cellIs" dxfId="1" priority="622" operator="between">
      <formula>NOW()</formula>
      <formula>NOW()+365</formula>
    </cfRule>
  </conditionalFormatting>
  <conditionalFormatting sqref="N218">
    <cfRule type="expression" dxfId="0" priority="619" stopIfTrue="1">
      <formula>NOT(OR(LEN(N218)=18,LEN(N218)=15,LEN(N218)=0))</formula>
    </cfRule>
    <cfRule type="duplicateValues" dxfId="1" priority="620"/>
  </conditionalFormatting>
  <conditionalFormatting sqref="AA218">
    <cfRule type="cellIs" dxfId="1" priority="618" operator="between">
      <formula>NOW()</formula>
      <formula>NOW()+365</formula>
    </cfRule>
  </conditionalFormatting>
  <conditionalFormatting sqref="N219">
    <cfRule type="expression" dxfId="0" priority="611" stopIfTrue="1">
      <formula>NOT(OR(LEN(N219)=18,LEN(N219)=15,LEN(N219)=0))</formula>
    </cfRule>
    <cfRule type="duplicateValues" dxfId="1" priority="612"/>
  </conditionalFormatting>
  <conditionalFormatting sqref="AA219">
    <cfRule type="cellIs" dxfId="1" priority="610" operator="between">
      <formula>NOW()</formula>
      <formula>NOW()+365</formula>
    </cfRule>
  </conditionalFormatting>
  <conditionalFormatting sqref="N220">
    <cfRule type="expression" dxfId="0" priority="603" stopIfTrue="1">
      <formula>NOT(OR(LEN(N220)=18,LEN(N220)=15,LEN(N220)=0))</formula>
    </cfRule>
    <cfRule type="duplicateValues" dxfId="1" priority="604"/>
  </conditionalFormatting>
  <conditionalFormatting sqref="AA220">
    <cfRule type="cellIs" dxfId="1" priority="602" operator="between">
      <formula>NOW()</formula>
      <formula>NOW()+365</formula>
    </cfRule>
  </conditionalFormatting>
  <conditionalFormatting sqref="N221">
    <cfRule type="expression" dxfId="0" priority="443" stopIfTrue="1">
      <formula>NOT(OR(LEN(N221)=18,LEN(N221)=15,LEN(N221)=0))</formula>
    </cfRule>
    <cfRule type="duplicateValues" dxfId="1" priority="444"/>
  </conditionalFormatting>
  <conditionalFormatting sqref="AA221">
    <cfRule type="cellIs" dxfId="1" priority="442" operator="between">
      <formula>NOW()</formula>
      <formula>NOW()+365</formula>
    </cfRule>
  </conditionalFormatting>
  <conditionalFormatting sqref="N222">
    <cfRule type="expression" dxfId="0" priority="587" stopIfTrue="1">
      <formula>NOT(OR(LEN(N222)=18,LEN(N222)=15,LEN(N222)=0))</formula>
    </cfRule>
    <cfRule type="duplicateValues" dxfId="1" priority="588"/>
  </conditionalFormatting>
  <conditionalFormatting sqref="AA222">
    <cfRule type="cellIs" dxfId="1" priority="586" operator="between">
      <formula>NOW()</formula>
      <formula>NOW()+365</formula>
    </cfRule>
  </conditionalFormatting>
  <conditionalFormatting sqref="N223">
    <cfRule type="expression" dxfId="0" priority="583" stopIfTrue="1">
      <formula>NOT(OR(LEN(N223)=18,LEN(N223)=15,LEN(N223)=0))</formula>
    </cfRule>
    <cfRule type="duplicateValues" dxfId="1" priority="584"/>
  </conditionalFormatting>
  <conditionalFormatting sqref="AA223">
    <cfRule type="cellIs" dxfId="1" priority="582" operator="between">
      <formula>NOW()</formula>
      <formula>NOW()+365</formula>
    </cfRule>
  </conditionalFormatting>
  <conditionalFormatting sqref="N224">
    <cfRule type="expression" dxfId="0" priority="575" stopIfTrue="1">
      <formula>NOT(OR(LEN(N224)=18,LEN(N224)=15,LEN(N224)=0))</formula>
    </cfRule>
    <cfRule type="duplicateValues" dxfId="1" priority="576"/>
  </conditionalFormatting>
  <conditionalFormatting sqref="AA224">
    <cfRule type="cellIs" dxfId="1" priority="574" operator="between">
      <formula>NOW()</formula>
      <formula>NOW()+365</formula>
    </cfRule>
  </conditionalFormatting>
  <conditionalFormatting sqref="N225">
    <cfRule type="expression" dxfId="0" priority="567" stopIfTrue="1">
      <formula>NOT(OR(LEN(N225)=18,LEN(N225)=15,LEN(N225)=0))</formula>
    </cfRule>
    <cfRule type="duplicateValues" dxfId="1" priority="568"/>
  </conditionalFormatting>
  <conditionalFormatting sqref="AA225">
    <cfRule type="cellIs" dxfId="1" priority="566" operator="between">
      <formula>NOW()</formula>
      <formula>NOW()+365</formula>
    </cfRule>
  </conditionalFormatting>
  <conditionalFormatting sqref="N226">
    <cfRule type="expression" dxfId="0" priority="559" stopIfTrue="1">
      <formula>NOT(OR(LEN(N226)=18,LEN(N226)=15,LEN(N226)=0))</formula>
    </cfRule>
    <cfRule type="duplicateValues" dxfId="1" priority="560"/>
  </conditionalFormatting>
  <conditionalFormatting sqref="AA226">
    <cfRule type="cellIs" dxfId="1" priority="558" operator="between">
      <formula>NOW()</formula>
      <formula>NOW()+365</formula>
    </cfRule>
  </conditionalFormatting>
  <conditionalFormatting sqref="N227">
    <cfRule type="expression" dxfId="0" priority="483" stopIfTrue="1">
      <formula>NOT(OR(LEN(N227)=18,LEN(N227)=15,LEN(N227)=0))</formula>
    </cfRule>
    <cfRule type="duplicateValues" dxfId="1" priority="484"/>
  </conditionalFormatting>
  <conditionalFormatting sqref="AA227">
    <cfRule type="cellIs" dxfId="1" priority="482" operator="between">
      <formula>NOW()</formula>
      <formula>NOW()+365</formula>
    </cfRule>
  </conditionalFormatting>
  <conditionalFormatting sqref="N228">
    <cfRule type="expression" dxfId="0" priority="479" stopIfTrue="1">
      <formula>NOT(OR(LEN(N228)=18,LEN(N228)=15,LEN(N228)=0))</formula>
    </cfRule>
    <cfRule type="duplicateValues" dxfId="1" priority="480"/>
  </conditionalFormatting>
  <conditionalFormatting sqref="AA228">
    <cfRule type="cellIs" dxfId="1" priority="478" operator="between">
      <formula>NOW()</formula>
      <formula>NOW()+365</formula>
    </cfRule>
  </conditionalFormatting>
  <conditionalFormatting sqref="N229">
    <cfRule type="expression" dxfId="0" priority="511" stopIfTrue="1">
      <formula>NOT(OR(LEN(N229)=18,LEN(N229)=15,LEN(N229)=0))</formula>
    </cfRule>
    <cfRule type="duplicateValues" dxfId="1" priority="512"/>
  </conditionalFormatting>
  <conditionalFormatting sqref="AA229">
    <cfRule type="cellIs" dxfId="1" priority="510" operator="between">
      <formula>NOW()</formula>
      <formula>NOW()+365</formula>
    </cfRule>
  </conditionalFormatting>
  <conditionalFormatting sqref="N230">
    <cfRule type="expression" dxfId="0" priority="507" stopIfTrue="1">
      <formula>NOT(OR(LEN(N230)=18,LEN(N230)=15,LEN(N230)=0))</formula>
    </cfRule>
    <cfRule type="duplicateValues" dxfId="1" priority="508"/>
  </conditionalFormatting>
  <conditionalFormatting sqref="AA230">
    <cfRule type="cellIs" dxfId="1" priority="506" operator="between">
      <formula>NOW()</formula>
      <formula>NOW()+365</formula>
    </cfRule>
  </conditionalFormatting>
  <conditionalFormatting sqref="N231">
    <cfRule type="expression" dxfId="0" priority="503" stopIfTrue="1">
      <formula>NOT(OR(LEN(N231)=18,LEN(N231)=15,LEN(N231)=0))</formula>
    </cfRule>
    <cfRule type="duplicateValues" dxfId="1" priority="504"/>
  </conditionalFormatting>
  <conditionalFormatting sqref="AA231">
    <cfRule type="cellIs" dxfId="1" priority="502" operator="between">
      <formula>NOW()</formula>
      <formula>NOW()+365</formula>
    </cfRule>
  </conditionalFormatting>
  <conditionalFormatting sqref="N232">
    <cfRule type="expression" dxfId="0" priority="499" stopIfTrue="1">
      <formula>NOT(OR(LEN(N232)=18,LEN(N232)=15,LEN(N232)=0))</formula>
    </cfRule>
    <cfRule type="duplicateValues" dxfId="1" priority="500"/>
  </conditionalFormatting>
  <conditionalFormatting sqref="AA232">
    <cfRule type="cellIs" dxfId="1" priority="498" operator="between">
      <formula>NOW()</formula>
      <formula>NOW()+365</formula>
    </cfRule>
  </conditionalFormatting>
  <conditionalFormatting sqref="N233">
    <cfRule type="expression" dxfId="0" priority="475" stopIfTrue="1">
      <formula>NOT(OR(LEN(N233)=18,LEN(N233)=15,LEN(N233)=0))</formula>
    </cfRule>
    <cfRule type="duplicateValues" dxfId="1" priority="476"/>
  </conditionalFormatting>
  <conditionalFormatting sqref="AA233">
    <cfRule type="cellIs" dxfId="1" priority="474" operator="between">
      <formula>NOW()</formula>
      <formula>NOW()+365</formula>
    </cfRule>
  </conditionalFormatting>
  <conditionalFormatting sqref="N234">
    <cfRule type="expression" dxfId="0" priority="471" stopIfTrue="1">
      <formula>NOT(OR(LEN(N234)=18,LEN(N234)=15,LEN(N234)=0))</formula>
    </cfRule>
    <cfRule type="duplicateValues" dxfId="1" priority="472"/>
  </conditionalFormatting>
  <conditionalFormatting sqref="AA234">
    <cfRule type="cellIs" dxfId="1" priority="470" operator="between">
      <formula>NOW()</formula>
      <formula>NOW()+365</formula>
    </cfRule>
  </conditionalFormatting>
  <conditionalFormatting sqref="N235">
    <cfRule type="expression" dxfId="0" priority="495" stopIfTrue="1">
      <formula>NOT(OR(LEN(N235)=18,LEN(N235)=15,LEN(N235)=0))</formula>
    </cfRule>
    <cfRule type="duplicateValues" dxfId="1" priority="496"/>
  </conditionalFormatting>
  <conditionalFormatting sqref="AA235">
    <cfRule type="cellIs" dxfId="1" priority="494" operator="between">
      <formula>NOW()</formula>
      <formula>NOW()+365</formula>
    </cfRule>
  </conditionalFormatting>
  <conditionalFormatting sqref="N236">
    <cfRule type="expression" dxfId="0" priority="491" stopIfTrue="1">
      <formula>NOT(OR(LEN(N236)=18,LEN(N236)=15,LEN(N236)=0))</formula>
    </cfRule>
    <cfRule type="duplicateValues" dxfId="1" priority="492"/>
  </conditionalFormatting>
  <conditionalFormatting sqref="AA236">
    <cfRule type="cellIs" dxfId="1" priority="490" operator="between">
      <formula>NOW()</formula>
      <formula>NOW()+365</formula>
    </cfRule>
  </conditionalFormatting>
  <conditionalFormatting sqref="N237">
    <cfRule type="expression" dxfId="0" priority="455" stopIfTrue="1">
      <formula>NOT(OR(LEN(N237)=18,LEN(N237)=15,LEN(N237)=0))</formula>
    </cfRule>
    <cfRule type="duplicateValues" dxfId="1" priority="456"/>
  </conditionalFormatting>
  <conditionalFormatting sqref="AA237">
    <cfRule type="cellIs" dxfId="1" priority="454" operator="between">
      <formula>NOW()</formula>
      <formula>NOW()+365</formula>
    </cfRule>
  </conditionalFormatting>
  <conditionalFormatting sqref="N238">
    <cfRule type="expression" dxfId="0" priority="447" stopIfTrue="1">
      <formula>NOT(OR(LEN(N238)=18,LEN(N238)=15,LEN(N238)=0))</formula>
    </cfRule>
    <cfRule type="duplicateValues" dxfId="1" priority="448"/>
  </conditionalFormatting>
  <conditionalFormatting sqref="AA238">
    <cfRule type="cellIs" dxfId="1" priority="446" operator="between">
      <formula>NOW()</formula>
      <formula>NOW()+365</formula>
    </cfRule>
  </conditionalFormatting>
  <conditionalFormatting sqref="N239">
    <cfRule type="expression" dxfId="0" priority="435" stopIfTrue="1">
      <formula>NOT(OR(LEN(N239)=18,LEN(N239)=15,LEN(N239)=0))</formula>
    </cfRule>
    <cfRule type="duplicateValues" dxfId="1" priority="436"/>
  </conditionalFormatting>
  <conditionalFormatting sqref="AA239">
    <cfRule type="cellIs" dxfId="1" priority="434" operator="between">
      <formula>NOW()</formula>
      <formula>NOW()+365</formula>
    </cfRule>
  </conditionalFormatting>
  <conditionalFormatting sqref="N240">
    <cfRule type="expression" dxfId="0" priority="399" stopIfTrue="1">
      <formula>NOT(OR(LEN(N240)=18,LEN(N240)=15,LEN(N240)=0))</formula>
    </cfRule>
    <cfRule type="duplicateValues" dxfId="1" priority="400"/>
  </conditionalFormatting>
  <conditionalFormatting sqref="AA240">
    <cfRule type="cellIs" dxfId="1" priority="398" operator="between">
      <formula>NOW()</formula>
      <formula>NOW()+365</formula>
    </cfRule>
  </conditionalFormatting>
  <conditionalFormatting sqref="N241">
    <cfRule type="expression" dxfId="0" priority="395" stopIfTrue="1">
      <formula>NOT(OR(LEN(N241)=18,LEN(N241)=15,LEN(N241)=0))</formula>
    </cfRule>
    <cfRule type="duplicateValues" dxfId="1" priority="396"/>
  </conditionalFormatting>
  <conditionalFormatting sqref="AA241">
    <cfRule type="cellIs" dxfId="1" priority="394" operator="between">
      <formula>NOW()</formula>
      <formula>NOW()+365</formula>
    </cfRule>
  </conditionalFormatting>
  <conditionalFormatting sqref="N242">
    <cfRule type="expression" dxfId="0" priority="387" stopIfTrue="1">
      <formula>NOT(OR(LEN(N242)=18,LEN(N242)=15,LEN(N242)=0))</formula>
    </cfRule>
    <cfRule type="duplicateValues" dxfId="1" priority="388"/>
  </conditionalFormatting>
  <conditionalFormatting sqref="AA242">
    <cfRule type="cellIs" dxfId="1" priority="386" operator="between">
      <formula>NOW()</formula>
      <formula>NOW()+365</formula>
    </cfRule>
  </conditionalFormatting>
  <conditionalFormatting sqref="N243">
    <cfRule type="expression" dxfId="0" priority="383" stopIfTrue="1">
      <formula>NOT(OR(LEN(N243)=18,LEN(N243)=15,LEN(N243)=0))</formula>
    </cfRule>
    <cfRule type="duplicateValues" dxfId="1" priority="384"/>
  </conditionalFormatting>
  <conditionalFormatting sqref="AA243">
    <cfRule type="cellIs" dxfId="1" priority="382" operator="between">
      <formula>NOW()</formula>
      <formula>NOW()+365</formula>
    </cfRule>
  </conditionalFormatting>
  <conditionalFormatting sqref="N244">
    <cfRule type="expression" dxfId="0" priority="391" stopIfTrue="1">
      <formula>NOT(OR(LEN(N244)=18,LEN(N244)=15,LEN(N244)=0))</formula>
    </cfRule>
    <cfRule type="duplicateValues" dxfId="1" priority="392"/>
  </conditionalFormatting>
  <conditionalFormatting sqref="AA244">
    <cfRule type="cellIs" dxfId="1" priority="390" operator="between">
      <formula>NOW()</formula>
      <formula>NOW()+365</formula>
    </cfRule>
  </conditionalFormatting>
  <conditionalFormatting sqref="N245">
    <cfRule type="expression" dxfId="0" priority="379" stopIfTrue="1">
      <formula>NOT(OR(LEN(N245)=18,LEN(N245)=15,LEN(N245)=0))</formula>
    </cfRule>
    <cfRule type="duplicateValues" dxfId="1" priority="380"/>
  </conditionalFormatting>
  <conditionalFormatting sqref="AA245">
    <cfRule type="cellIs" dxfId="1" priority="378" operator="between">
      <formula>NOW()</formula>
      <formula>NOW()+365</formula>
    </cfRule>
  </conditionalFormatting>
  <conditionalFormatting sqref="N246">
    <cfRule type="expression" dxfId="0" priority="351" stopIfTrue="1">
      <formula>NOT(OR(LEN(N246)=18,LEN(N246)=15,LEN(N246)=0))</formula>
    </cfRule>
    <cfRule type="duplicateValues" dxfId="1" priority="352"/>
  </conditionalFormatting>
  <conditionalFormatting sqref="AA246">
    <cfRule type="cellIs" dxfId="1" priority="350" operator="between">
      <formula>NOW()</formula>
      <formula>NOW()+365</formula>
    </cfRule>
  </conditionalFormatting>
  <conditionalFormatting sqref="N247">
    <cfRule type="expression" dxfId="0" priority="347" stopIfTrue="1">
      <formula>NOT(OR(LEN(N247)=18,LEN(N247)=15,LEN(N247)=0))</formula>
    </cfRule>
    <cfRule type="duplicateValues" dxfId="1" priority="348"/>
  </conditionalFormatting>
  <conditionalFormatting sqref="AA247">
    <cfRule type="cellIs" dxfId="1" priority="346" operator="between">
      <formula>NOW()</formula>
      <formula>NOW()+365</formula>
    </cfRule>
  </conditionalFormatting>
  <conditionalFormatting sqref="N248">
    <cfRule type="expression" dxfId="0" priority="343" stopIfTrue="1">
      <formula>NOT(OR(LEN(N248)=18,LEN(N248)=15,LEN(N248)=0))</formula>
    </cfRule>
    <cfRule type="duplicateValues" dxfId="1" priority="344"/>
  </conditionalFormatting>
  <conditionalFormatting sqref="AA248">
    <cfRule type="cellIs" dxfId="1" priority="342" operator="between">
      <formula>NOW()</formula>
      <formula>NOW()+365</formula>
    </cfRule>
  </conditionalFormatting>
  <conditionalFormatting sqref="N249">
    <cfRule type="expression" dxfId="0" priority="335" stopIfTrue="1">
      <formula>NOT(OR(LEN(N249)=18,LEN(N249)=15,LEN(N249)=0))</formula>
    </cfRule>
    <cfRule type="duplicateValues" dxfId="1" priority="336"/>
  </conditionalFormatting>
  <conditionalFormatting sqref="AA249">
    <cfRule type="cellIs" dxfId="1" priority="334" operator="between">
      <formula>NOW()</formula>
      <formula>NOW()+365</formula>
    </cfRule>
  </conditionalFormatting>
  <conditionalFormatting sqref="N250">
    <cfRule type="expression" dxfId="0" priority="315" stopIfTrue="1">
      <formula>NOT(OR(LEN(N250)=18,LEN(N250)=15,LEN(N250)=0))</formula>
    </cfRule>
    <cfRule type="duplicateValues" dxfId="1" priority="316"/>
  </conditionalFormatting>
  <conditionalFormatting sqref="AA250">
    <cfRule type="cellIs" dxfId="1" priority="314" operator="between">
      <formula>NOW()</formula>
      <formula>NOW()+365</formula>
    </cfRule>
  </conditionalFormatting>
  <conditionalFormatting sqref="N251">
    <cfRule type="expression" dxfId="0" priority="311" stopIfTrue="1">
      <formula>NOT(OR(LEN(N251)=18,LEN(N251)=15,LEN(N251)=0))</formula>
    </cfRule>
    <cfRule type="duplicateValues" dxfId="1" priority="312"/>
  </conditionalFormatting>
  <conditionalFormatting sqref="AA251">
    <cfRule type="cellIs" dxfId="1" priority="310" operator="between">
      <formula>NOW()</formula>
      <formula>NOW()+365</formula>
    </cfRule>
  </conditionalFormatting>
  <conditionalFormatting sqref="N252">
    <cfRule type="expression" dxfId="0" priority="319" stopIfTrue="1">
      <formula>NOT(OR(LEN(N252)=18,LEN(N252)=15,LEN(N252)=0))</formula>
    </cfRule>
    <cfRule type="duplicateValues" dxfId="1" priority="320"/>
  </conditionalFormatting>
  <conditionalFormatting sqref="AA252">
    <cfRule type="cellIs" dxfId="1" priority="318" operator="between">
      <formula>NOW()</formula>
      <formula>NOW()+365</formula>
    </cfRule>
  </conditionalFormatting>
  <conditionalFormatting sqref="N253">
    <cfRule type="expression" dxfId="0" priority="303" stopIfTrue="1">
      <formula>NOT(OR(LEN(N253)=18,LEN(N253)=15,LEN(N253)=0))</formula>
    </cfRule>
    <cfRule type="duplicateValues" dxfId="1" priority="304"/>
  </conditionalFormatting>
  <conditionalFormatting sqref="AA253">
    <cfRule type="cellIs" dxfId="1" priority="302" operator="between">
      <formula>NOW()</formula>
      <formula>NOW()+365</formula>
    </cfRule>
  </conditionalFormatting>
  <conditionalFormatting sqref="N254">
    <cfRule type="expression" dxfId="0" priority="291" stopIfTrue="1">
      <formula>NOT(OR(LEN(N254)=18,LEN(N254)=15,LEN(N254)=0))</formula>
    </cfRule>
    <cfRule type="duplicateValues" dxfId="1" priority="292"/>
  </conditionalFormatting>
  <conditionalFormatting sqref="AA254">
    <cfRule type="cellIs" dxfId="1" priority="290" operator="between">
      <formula>NOW()</formula>
      <formula>NOW()+365</formula>
    </cfRule>
  </conditionalFormatting>
  <conditionalFormatting sqref="N255">
    <cfRule type="expression" dxfId="0" priority="287" stopIfTrue="1">
      <formula>NOT(OR(LEN(N255)=18,LEN(N255)=15,LEN(N255)=0))</formula>
    </cfRule>
    <cfRule type="duplicateValues" dxfId="1" priority="288"/>
  </conditionalFormatting>
  <conditionalFormatting sqref="AA255">
    <cfRule type="cellIs" dxfId="1" priority="286" operator="between">
      <formula>NOW()</formula>
      <formula>NOW()+365</formula>
    </cfRule>
  </conditionalFormatting>
  <conditionalFormatting sqref="N256">
    <cfRule type="expression" dxfId="0" priority="283" stopIfTrue="1">
      <formula>NOT(OR(LEN(N256)=18,LEN(N256)=15,LEN(N256)=0))</formula>
    </cfRule>
    <cfRule type="duplicateValues" dxfId="1" priority="284"/>
  </conditionalFormatting>
  <conditionalFormatting sqref="AA256">
    <cfRule type="cellIs" dxfId="1" priority="282" operator="between">
      <formula>NOW()</formula>
      <formula>NOW()+365</formula>
    </cfRule>
  </conditionalFormatting>
  <conditionalFormatting sqref="N257">
    <cfRule type="expression" dxfId="0" priority="275" stopIfTrue="1">
      <formula>NOT(OR(LEN(N257)=18,LEN(N257)=15,LEN(N257)=0))</formula>
    </cfRule>
    <cfRule type="duplicateValues" dxfId="1" priority="276"/>
  </conditionalFormatting>
  <conditionalFormatting sqref="AA257">
    <cfRule type="cellIs" dxfId="1" priority="274" operator="between">
      <formula>NOW()</formula>
      <formula>NOW()+365</formula>
    </cfRule>
  </conditionalFormatting>
  <conditionalFormatting sqref="N258">
    <cfRule type="expression" dxfId="0" priority="267" stopIfTrue="1">
      <formula>NOT(OR(LEN(N258)=18,LEN(N258)=15,LEN(N258)=0))</formula>
    </cfRule>
    <cfRule type="duplicateValues" dxfId="1" priority="268"/>
  </conditionalFormatting>
  <conditionalFormatting sqref="AA258">
    <cfRule type="cellIs" dxfId="1" priority="266" operator="between">
      <formula>NOW()</formula>
      <formula>NOW()+365</formula>
    </cfRule>
  </conditionalFormatting>
  <conditionalFormatting sqref="N259">
    <cfRule type="expression" dxfId="0" priority="259" stopIfTrue="1">
      <formula>NOT(OR(LEN(N259)=18,LEN(N259)=15,LEN(N259)=0))</formula>
    </cfRule>
    <cfRule type="duplicateValues" dxfId="1" priority="260"/>
  </conditionalFormatting>
  <conditionalFormatting sqref="AA259">
    <cfRule type="cellIs" dxfId="1" priority="258" operator="between">
      <formula>NOW()</formula>
      <formula>NOW()+365</formula>
    </cfRule>
  </conditionalFormatting>
  <conditionalFormatting sqref="N260">
    <cfRule type="expression" dxfId="0" priority="251" stopIfTrue="1">
      <formula>NOT(OR(LEN(N260)=18,LEN(N260)=15,LEN(N260)=0))</formula>
    </cfRule>
    <cfRule type="duplicateValues" dxfId="1" priority="252"/>
  </conditionalFormatting>
  <conditionalFormatting sqref="AA260">
    <cfRule type="cellIs" dxfId="1" priority="250" operator="between">
      <formula>NOW()</formula>
      <formula>NOW()+365</formula>
    </cfRule>
  </conditionalFormatting>
  <conditionalFormatting sqref="N261">
    <cfRule type="expression" dxfId="0" priority="235" stopIfTrue="1">
      <formula>NOT(OR(LEN(N261)=18,LEN(N261)=15,LEN(N261)=0))</formula>
    </cfRule>
    <cfRule type="duplicateValues" dxfId="1" priority="236"/>
  </conditionalFormatting>
  <conditionalFormatting sqref="AA261">
    <cfRule type="cellIs" dxfId="1" priority="234" operator="between">
      <formula>NOW()</formula>
      <formula>NOW()+365</formula>
    </cfRule>
  </conditionalFormatting>
  <conditionalFormatting sqref="N262">
    <cfRule type="expression" dxfId="0" priority="219" stopIfTrue="1">
      <formula>NOT(OR(LEN(N262)=18,LEN(N262)=15,LEN(N262)=0))</formula>
    </cfRule>
    <cfRule type="duplicateValues" dxfId="1" priority="220"/>
  </conditionalFormatting>
  <conditionalFormatting sqref="AA262">
    <cfRule type="cellIs" dxfId="1" priority="218" operator="between">
      <formula>NOW()</formula>
      <formula>NOW()+365</formula>
    </cfRule>
  </conditionalFormatting>
  <conditionalFormatting sqref="N263">
    <cfRule type="expression" dxfId="0" priority="227" stopIfTrue="1">
      <formula>NOT(OR(LEN(N263)=18,LEN(N263)=15,LEN(N263)=0))</formula>
    </cfRule>
    <cfRule type="duplicateValues" dxfId="1" priority="228"/>
  </conditionalFormatting>
  <conditionalFormatting sqref="AA263">
    <cfRule type="cellIs" dxfId="1" priority="226" operator="between">
      <formula>NOW()</formula>
      <formula>NOW()+365</formula>
    </cfRule>
  </conditionalFormatting>
  <conditionalFormatting sqref="N291">
    <cfRule type="expression" dxfId="0" priority="101" stopIfTrue="1">
      <formula>NOT(OR(LEN(N291)=18,LEN(N291)=15,LEN(N291)=0))</formula>
    </cfRule>
    <cfRule type="duplicateValues" dxfId="1" priority="102"/>
  </conditionalFormatting>
  <conditionalFormatting sqref="AA291">
    <cfRule type="cellIs" dxfId="1" priority="100" operator="between">
      <formula>NOW()</formula>
      <formula>NOW()+365</formula>
    </cfRule>
  </conditionalFormatting>
  <conditionalFormatting sqref="N292">
    <cfRule type="expression" dxfId="0" priority="93" stopIfTrue="1">
      <formula>NOT(OR(LEN(N292)=18,LEN(N292)=15,LEN(N292)=0))</formula>
    </cfRule>
    <cfRule type="duplicateValues" dxfId="1" priority="94"/>
  </conditionalFormatting>
  <conditionalFormatting sqref="AA292">
    <cfRule type="cellIs" dxfId="1" priority="92" operator="between">
      <formula>NOW()</formula>
      <formula>NOW()+365</formula>
    </cfRule>
  </conditionalFormatting>
  <conditionalFormatting sqref="N293">
    <cfRule type="expression" dxfId="0" priority="85" stopIfTrue="1">
      <formula>NOT(OR(LEN(N293)=18,LEN(N293)=15,LEN(N293)=0))</formula>
    </cfRule>
    <cfRule type="duplicateValues" dxfId="1" priority="86"/>
  </conditionalFormatting>
  <conditionalFormatting sqref="AA293">
    <cfRule type="cellIs" dxfId="1" priority="84" operator="between">
      <formula>NOW()</formula>
      <formula>NOW()+365</formula>
    </cfRule>
  </conditionalFormatting>
  <conditionalFormatting sqref="J294">
    <cfRule type="cellIs" dxfId="4" priority="75" operator="between">
      <formula>NOW()-14</formula>
      <formula>NOW()+30</formula>
    </cfRule>
  </conditionalFormatting>
  <conditionalFormatting sqref="W294">
    <cfRule type="cellIs" dxfId="1" priority="76" operator="between">
      <formula>NOW()</formula>
      <formula>NOW()+365</formula>
    </cfRule>
  </conditionalFormatting>
  <conditionalFormatting sqref="AA294">
    <cfRule type="cellIs" dxfId="1" priority="73" operator="between">
      <formula>NOW()</formula>
      <formula>NOW()+365</formula>
    </cfRule>
  </conditionalFormatting>
  <conditionalFormatting sqref="J295">
    <cfRule type="cellIs" dxfId="4" priority="67" operator="between">
      <formula>NOW()-14</formula>
      <formula>NOW()+30</formula>
    </cfRule>
  </conditionalFormatting>
  <conditionalFormatting sqref="W295">
    <cfRule type="cellIs" dxfId="1" priority="68" operator="between">
      <formula>NOW()</formula>
      <formula>NOW()+365</formula>
    </cfRule>
  </conditionalFormatting>
  <conditionalFormatting sqref="AA295">
    <cfRule type="cellIs" dxfId="1" priority="65" operator="between">
      <formula>NOW()</formula>
      <formula>NOW()+365</formula>
    </cfRule>
  </conditionalFormatting>
  <conditionalFormatting sqref="N296">
    <cfRule type="expression" dxfId="0" priority="55" stopIfTrue="1">
      <formula>NOT(OR(LEN(N296)=18,LEN(N296)=15,LEN(N296)=0))</formula>
    </cfRule>
    <cfRule type="duplicateValues" dxfId="1" priority="56"/>
  </conditionalFormatting>
  <conditionalFormatting sqref="AA296">
    <cfRule type="cellIs" dxfId="1" priority="54" operator="between">
      <formula>NOW()</formula>
      <formula>NOW()+365</formula>
    </cfRule>
  </conditionalFormatting>
  <conditionalFormatting sqref="J297">
    <cfRule type="cellIs" dxfId="4" priority="51" operator="between">
      <formula>NOW()-14</formula>
      <formula>NOW()+30</formula>
    </cfRule>
  </conditionalFormatting>
  <conditionalFormatting sqref="W297">
    <cfRule type="cellIs" dxfId="1" priority="52" operator="between">
      <formula>NOW()</formula>
      <formula>NOW()+365</formula>
    </cfRule>
  </conditionalFormatting>
  <conditionalFormatting sqref="AA297">
    <cfRule type="cellIs" dxfId="1" priority="49" operator="between">
      <formula>NOW()</formula>
      <formula>NOW()+365</formula>
    </cfRule>
  </conditionalFormatting>
  <conditionalFormatting sqref="J298">
    <cfRule type="cellIs" dxfId="4" priority="39" operator="between">
      <formula>NOW()-14</formula>
      <formula>NOW()+30</formula>
    </cfRule>
  </conditionalFormatting>
  <conditionalFormatting sqref="W298">
    <cfRule type="cellIs" dxfId="1" priority="40" operator="between">
      <formula>NOW()</formula>
      <formula>NOW()+365</formula>
    </cfRule>
  </conditionalFormatting>
  <conditionalFormatting sqref="AA298">
    <cfRule type="cellIs" dxfId="1" priority="37" operator="between">
      <formula>NOW()</formula>
      <formula>NOW()+365</formula>
    </cfRule>
  </conditionalFormatting>
  <conditionalFormatting sqref="J299">
    <cfRule type="cellIs" dxfId="4" priority="35" operator="between">
      <formula>NOW()-14</formula>
      <formula>NOW()+30</formula>
    </cfRule>
  </conditionalFormatting>
  <conditionalFormatting sqref="W299">
    <cfRule type="cellIs" dxfId="1" priority="36" operator="between">
      <formula>NOW()</formula>
      <formula>NOW()+365</formula>
    </cfRule>
  </conditionalFormatting>
  <conditionalFormatting sqref="AA299">
    <cfRule type="cellIs" dxfId="1" priority="33" operator="between">
      <formula>NOW()</formula>
      <formula>NOW()+365</formula>
    </cfRule>
  </conditionalFormatting>
  <conditionalFormatting sqref="J300">
    <cfRule type="cellIs" dxfId="4" priority="27" operator="between">
      <formula>NOW()-14</formula>
      <formula>NOW()+30</formula>
    </cfRule>
  </conditionalFormatting>
  <conditionalFormatting sqref="W300">
    <cfRule type="cellIs" dxfId="1" priority="28" operator="between">
      <formula>NOW()</formula>
      <formula>NOW()+365</formula>
    </cfRule>
  </conditionalFormatting>
  <conditionalFormatting sqref="AA300">
    <cfRule type="cellIs" dxfId="1" priority="25" operator="between">
      <formula>NOW()</formula>
      <formula>NOW()+365</formula>
    </cfRule>
  </conditionalFormatting>
  <conditionalFormatting sqref="J301">
    <cfRule type="cellIs" dxfId="4" priority="11" operator="between">
      <formula>NOW()-14</formula>
      <formula>NOW()+30</formula>
    </cfRule>
  </conditionalFormatting>
  <conditionalFormatting sqref="W301">
    <cfRule type="cellIs" dxfId="1" priority="12" operator="between">
      <formula>NOW()</formula>
      <formula>NOW()+365</formula>
    </cfRule>
  </conditionalFormatting>
  <conditionalFormatting sqref="AA301">
    <cfRule type="cellIs" dxfId="1" priority="9" operator="between">
      <formula>NOW()</formula>
      <formula>NOW()+365</formula>
    </cfRule>
  </conditionalFormatting>
  <conditionalFormatting sqref="J302">
    <cfRule type="cellIs" dxfId="4" priority="7" operator="between">
      <formula>NOW()-14</formula>
      <formula>NOW()+30</formula>
    </cfRule>
  </conditionalFormatting>
  <conditionalFormatting sqref="W302">
    <cfRule type="cellIs" dxfId="1" priority="8" operator="between">
      <formula>NOW()</formula>
      <formula>NOW()+365</formula>
    </cfRule>
  </conditionalFormatting>
  <conditionalFormatting sqref="AA302">
    <cfRule type="cellIs" dxfId="1" priority="5" operator="between">
      <formula>NOW()</formula>
      <formula>NOW()+365</formula>
    </cfRule>
  </conditionalFormatting>
  <conditionalFormatting sqref="N303">
    <cfRule type="expression" dxfId="0" priority="3" stopIfTrue="1">
      <formula>NOT(OR(LEN(N303)=18,LEN(N303)=15,LEN(N303)=0))</formula>
    </cfRule>
    <cfRule type="duplicateValues" dxfId="1" priority="4"/>
  </conditionalFormatting>
  <conditionalFormatting sqref="AA303">
    <cfRule type="cellIs" dxfId="1" priority="2" operator="between">
      <formula>NOW()</formula>
      <formula>NOW()+365</formula>
    </cfRule>
  </conditionalFormatting>
  <conditionalFormatting sqref="N17:N18">
    <cfRule type="expression" dxfId="0" priority="843" stopIfTrue="1">
      <formula>NOT(OR(LEN(N17)=18,LEN(N17)=15,LEN(N17)=0))</formula>
    </cfRule>
    <cfRule type="duplicateValues" dxfId="1" priority="844"/>
  </conditionalFormatting>
  <conditionalFormatting sqref="N19:N21">
    <cfRule type="duplicateValues" dxfId="1" priority="1320"/>
  </conditionalFormatting>
  <conditionalFormatting sqref="N24:N25">
    <cfRule type="expression" dxfId="2" priority="907" stopIfTrue="1">
      <formula>NOT(OR(LEN(N24)=18,LEN(N24)=15,LEN(N24)=0))</formula>
    </cfRule>
  </conditionalFormatting>
  <conditionalFormatting sqref="N264:N290">
    <cfRule type="expression" dxfId="0" priority="109" stopIfTrue="1">
      <formula>NOT(OR(LEN(N264)=18,LEN(N264)=15,LEN(N264)=0))</formula>
    </cfRule>
    <cfRule type="duplicateValues" dxfId="1" priority="110"/>
  </conditionalFormatting>
  <conditionalFormatting sqref="AA17:AA18">
    <cfRule type="cellIs" dxfId="1" priority="841" operator="between">
      <formula>NOW()</formula>
      <formula>NOW()+365</formula>
    </cfRule>
  </conditionalFormatting>
  <conditionalFormatting sqref="AA24:AA25">
    <cfRule type="cellIs" dxfId="3" priority="906" stopIfTrue="1" operator="between">
      <formula>NOW()</formula>
      <formula>NOW()+365</formula>
    </cfRule>
  </conditionalFormatting>
  <conditionalFormatting sqref="AA264:AA290">
    <cfRule type="cellIs" dxfId="1" priority="108" operator="between">
      <formula>NOW()</formula>
      <formula>NOW()+365</formula>
    </cfRule>
  </conditionalFormatting>
  <conditionalFormatting sqref="N304:N1048576 N59 N1:N2 N61">
    <cfRule type="duplicateValues" dxfId="1" priority="1317"/>
  </conditionalFormatting>
  <conditionalFormatting sqref="N19:N22 N90:N98 N100:N107 N31:N88">
    <cfRule type="expression" dxfId="0" priority="1319" stopIfTrue="1">
      <formula>NOT(OR(LEN(#REF!)=18,LEN(#REF!)=15,LEN(#REF!)=0))</formula>
    </cfRule>
  </conditionalFormatting>
  <conditionalFormatting sqref="N22 N31:N58">
    <cfRule type="duplicateValues" dxfId="1" priority="7243"/>
  </conditionalFormatting>
  <conditionalFormatting sqref="N108 N160:N184 N23:N30">
    <cfRule type="expression" dxfId="0" priority="1144" stopIfTrue="1">
      <formula>NOT(OR(LEN(N23)=18,LEN(N23)=15,LEN(N23)=0))</formula>
    </cfRule>
  </conditionalFormatting>
  <conditionalFormatting sqref="N160:N184 N23:N30">
    <cfRule type="duplicateValues" dxfId="1" priority="924"/>
  </conditionalFormatting>
  <conditionalFormatting sqref="AA107 AA160:AA184 AA23:AA30">
    <cfRule type="cellIs" dxfId="1" priority="1146" operator="between">
      <formula>NOW()</formula>
      <formula>NOW()+365</formula>
    </cfRule>
  </conditionalFormatting>
  <conditionalFormatting sqref="N126:N127 N99">
    <cfRule type="expression" dxfId="0" priority="6285" stopIfTrue="1">
      <formula>NOT(OR(LEN('[\Users\hanxiaoguang\Desktop\工资单\10月\Users\yinhema\Desktop\C:\Users\Shuyang Du\Desktop\员工信息表-V20160801－lsh.xlsx]INCUMBENT (2)'!#REF!)=18,LEN('[\Users\hanxiaoguang\Desktop\工资单\10月\Users\yinhema\Desktop\C:\Users\Shuyang Du\Desktop\员工信息表-V20160801－lsh.xlsx]INCUMBENT (2)'!#REF!)=15,LEN('[\Users\hanxiaoguang\Desktop\工资单\10月\Users\yinhema\Desktop\C:\Users\Shuyang Du\Desktop\员工信息表-V20160801－lsh.xlsx]INCUMBENT (2)'!#REF!)=0))</formula>
    </cfRule>
  </conditionalFormatting>
  <conditionalFormatting sqref="N133 N141">
    <cfRule type="expression" dxfId="0" priority="6288" stopIfTrue="1">
      <formula>NOT(OR(LEN('[\Users\hanxiaoguang\Desktop\工资单\10月\Users\yinhema\Desktop\C:\Users\Shuyang Du\Desktop\员工信息表-V20160801－lsh.xlsx]INCUMBENT (2)'!#REF!)=18,LEN('[\Users\hanxiaoguang\Desktop\工资单\10月\Users\yinhema\Desktop\C:\Users\Shuyang Du\Desktop\员工信息表-V20160801－lsh.xlsx]INCUMBENT (2)'!#REF!)=15,LEN('[\Users\hanxiaoguang\Desktop\工资单\10月\Users\yinhema\Desktop\C:\Users\Shuyang Du\Desktop\员工信息表-V20160801－lsh.xlsx]INCUMBENT (2)'!#REF!)=0))</formula>
    </cfRule>
  </conditionalFormatting>
  <conditionalFormatting sqref="N161:N178 N183">
    <cfRule type="expression" dxfId="2" priority="918" stopIfTrue="1">
      <formula>NOT(OR(LEN(N161)=18,LEN(N161)=15,LEN(N161)=0))</formula>
    </cfRule>
  </conditionalFormatting>
  <conditionalFormatting sqref="AA161:AA167 AA169:AA172 AA183 AA174:AA178">
    <cfRule type="cellIs" dxfId="3" priority="919" stopIfTrue="1" operator="between">
      <formula>NOW()</formula>
      <formula>NOW()+365</formula>
    </cfRule>
  </conditionalFormatting>
  <dataValidations count="22">
    <dataValidation type="list" allowBlank="1" showInputMessage="1" showErrorMessage="1" sqref="R2 R65474 R131010 R196546 R262082 R327618 R393154 R458690 R524226 R589762 R655298 R720834 R786370 R851906 R917442 R982978">
      <formula1>"汉族,回族,满族,蒙古族,朝鲜族,土家族"</formula1>
    </dataValidation>
    <dataValidation type="list" allowBlank="1" showInputMessage="1" showErrorMessage="1" sqref="S2 S59 S64 S76 S79 S83 S90 S107 S135 S203 S295 S19:S21 S65474:S65509 S131010:S131045 S196546:S196581 S262082:S262117 S327618:S327653 S393154:S393189 S458690:S458725 S524226:S524261 S589762:S589797 S655298:S655333 S720834:S720869 S786370:S786405 S851906:S851941 S917442:S917477 S982978:S983013">
      <formula1>"已婚,未婚,离异"</formula1>
    </dataValidation>
    <dataValidation type="list" allowBlank="1" showInputMessage="1" showErrorMessage="1" sqref="W2 W59 W64 W72 W76 W79 W83 W90 W107 W135 W203 W295 W19:W21 W65474:W65509 W131010:W131045 W196546:W196581 W262082:W262117 W327618:W327653 W393154:W393189 W458690:W458725 W524226:W524261 W589762:W589797 W655298:W655333 W720834:W720869 W786370:W786405 W851906:W851941 W917442:W917477 W982978:W983013">
      <formula1>"城镇户口,非城镇户口"</formula1>
    </dataValidation>
    <dataValidation type="list" allowBlank="1" showInputMessage="1" showErrorMessage="1" sqref="X2 X59 X64 X19:X21 X65474:X65509 X131010:X131045 X196546:X196581 X262082:X262117 X327618:X327653 X393154:X393189 X458690:X458725 X524226:X524261 X589762:X589797 X655298:X655333 X720834:X720869 X786370:X786405 X851906:X851941 X917442:X917477 X982978:X983013">
      <formula1>"初中,中专,高中,大专,本科,硕士,博士"</formula1>
    </dataValidation>
    <dataValidation allowBlank="1" showInputMessage="1" showErrorMessage="1" prompt="只需输入身份证号即自动显示该人的性别、出生公历日期、年龄、等相关信息;&#10;身份证号码若录入错误显示为红色" sqref="N8 N60 N65 N83 N142 N151 N156 N214 N241 N246 N252 N257 N272 N277 N284 O296 N65492 N131028 N196564 N262100 N327636 N393172 N458708 N524244 N589780 N655316 N720852 N786388 N851924 N917460 N982996 N17:N21 N187:N188 N190:N192 N65475:N65476 N65478:N65479 N65503:N65504 N65506:N65508 N131011:N131012 N131014:N131015 N131039:N131040 N131042:N131044 N196547:N196548 N196550:N196551 N196575:N196576 N196578:N196580 N262083:N262084 N262086:N262087 N262111:N262112 N262114:N262116 N327619:N327620 N327622:N327623 N327647:N327648 N327650:N327652 N393155:N393156 N393158:N393159 N393183:N393184 N393186:N393188 N458691:N458692 N458694:N458695 N458719:N458720 N458722:N458724 N524227:N524228 N524230:N524231 N524255:N524256 N524258:N524260 N589763:N589764 N589766:N589767 N589791:N589792 N589794:N589796 N655299:N655300 N655302:N655303 N655327:N655328 N655330:N655332 N720835:N720836 N720838:N720839 N720863:N720864 N720866:N720868 N786371:N786372 N786374:N786375 N786399:N786400 N786402:N786404 N851907:N851908 N851910:N851911 N851935:N851936 N851938:N851940 N917443:N917444 N917446:N917447 N917471:N917472 N917474:N917476 N982979:N982980 N982982:N982983 N983007:N983008 N983010:N983012"/>
    <dataValidation allowBlank="1" showInputMessage="1" showErrorMessage="1" prompt="输入身份证号码自动显示,无需填写." sqref="O8:P8 O72:Q72 O74:Q74 O76:Q76 O90:Q90 O96:Q96 O107:Q107 O135:Q135 O140:P140 O142:Q142 O147:Q147 O151:Q151 O156:P156 Q185 O190:P190 Q193 Q196 O199:P199 O203:Q203 Q212 O214:Q214 O221:Q221 Q222 Q239 O241:Q241 Q242 O246:Q246 O252:Q252 O254:Q254 O257:P257 Q258 O272:P272 O277:P277 Q282 O284:P284 Q288 Q292 O295:Q295 P296 R296 O65481:Q65481 O65484:Q65484 O65492:Q65492 O65498:Q65498 O131017:Q131017 O131020:Q131020 O131028:Q131028 O131034:Q131034 O196553:Q196553 O196556:Q196556 O196564:Q196564 O196570:Q196570 O262089:Q262089 O262092:Q262092 O262100:Q262100 O262106:Q262106 O327625:Q327625 O327628:Q327628 O327636:Q327636 O327642:Q327642 O393161:Q393161 O393164:Q393164 O393172:Q393172 O393178:Q393178 O458697:Q458697 O458700:Q458700 O458708:Q458708 O458714:Q458714 O524233:Q524233 O524236:Q524236 O524244:Q524244 O524250:Q524250 O589769:Q589769 O589772:Q589772 O589780:Q589780 O589786:Q589786 O655305:Q655305 O655308:Q655308 O655316:Q655316 O655322:Q655322 O720841:Q720841 O720844:Q720844 O720852:Q720852 O720858:Q720858 O786377:Q786377 O786380:Q786380 O786388:Q786388 O786394:Q786394 O851913:Q851913 O851916:Q851916 O851924:Q851924 O851930:Q851930 O917449:Q917449 O917452:Q917452 O917460:Q917460 O917466:Q917466 O982985:Q982985 O982988:Q982988 O982996:Q982996 O983002:Q983002 P23:P29 P161:P184 Q3:Q5 Q7:Q15 Q139:Q141 Q143:Q146 Q148:Q150 Q152:Q160 Q189:Q190 Q198:Q199 Q201:Q202 Q205:Q207 Q215:Q219 Q224:Q226 Q229:Q230 Q232:Q237 Q264:Q269 O65475:Q65479 O393155:Q393159 O720835:Q720839 O131011:Q131015 O458691:Q458695 O786371:Q786375 O17:Q21 O196547:Q196551 O524227:Q524231 O851907:Q851911 O262083:Q262087 O589763:Q589767 O917443:Q917447 O327619:Q327623 O655299:Q655303 O982979:Q982983 O65500:Q65509 O393180:Q393189 O720860:Q720869 O131036:Q131045 O458716:Q458725 O786396:Q786405 O196572:Q196581 O524252:Q524261 O851932:Q851941 O262108:Q262117 O589788:Q589797 O917468:Q917477 O327644:Q327653 O655324:Q655333 O983004:Q983013 O78:Q79 O82:Q83 O187:Q188 O191:Q192 O59:Q68"/>
    <dataValidation type="list" allowBlank="1" showInputMessage="1" showErrorMessage="1" sqref="X23 X30 X165 X176 X189 Y275 X276 X285 Y286 W300 X3:X7 X9:X16 X66:X141 X143:X146 X148:X150 X152:X155 X157:X161 X171:X172 X184:X186 X193:X213 X215:X240 X242:X245 X247:X251 X253:X256 X258:X271 X273:X274 X278:X283 X287:X295 X297:X299 X301:X303">
      <formula1>"博士,硕士,大学本科,大学专科,高中,中专,初中,其他"</formula1>
    </dataValidation>
    <dataValidation type="list" allowBlank="1" showInputMessage="1" showErrorMessage="1" sqref="R59 R64 R19:R21 R65475:R65509 R131011:R131045 R196547:R196581 R262083:R262117 R327619:R327653 R393155:R393189 R458691:R458725 R524227:R524261 R589763:R589797 R655299:R655333 R720835:R720869 R786371:R786405 R851907:R851941 R917443:R917477 R982979:R983013">
      <formula1>"汉族,满族,回族,蒙古族,朝鲜族,壮族,侗族,锡伯族,土家族"</formula1>
    </dataValidation>
    <dataValidation allowBlank="1" showInputMessage="1" showErrorMessage="1" prompt="输入入职日期自动显示,无需填写." sqref="M72 M74 M76 M90 M96 M107 M135 M140 M151 M191 M199 M203 M214 M231 M241 M249 M252 M254 L272 M277 M284 M295 N296 M65484 M131020 M196556 M262092 M327628 M393164 M458700 M524236 M589772 M655308 M720844 M786380 M851916 M917452 M982988 M16:M68 M78:M79 M82:M83 M161:M184 M187:M188 M246:M247 M65475:M65481 M65492:M65494 M65497:M65498 M65500:M65509 M131011:M131017 M131028:M131030 M131033:M131034 M131036:M131045 M196547:M196553 M196564:M196566 M196569:M196570 M196572:M196581 M262083:M262089 M262100:M262102 M262105:M262106 M262108:M262117 M327619:M327625 M327636:M327638 M327641:M327642 M327644:M327653 M393155:M393161 M393172:M393174 M393177:M393178 M393180:M393189 M458691:M458697 M458708:M458710 M458713:M458714 M458716:M458725 M524227:M524233 M524244:M524246 M524249:M524250 M524252:M524261 M589763:M589769 M589780:M589782 M589785:M589786 M589788:M589797 M655299:M655305 M655316:M655318 M655321:M655322 M655324:M655333 M720835:M720841 M720852:M720854 M720857:M720858 M720860:M720869 M786371:M786377 M786388:M786390 M786393:M786394 M786396:M786405 M851907:M851913 M851924:M851926 M851929:M851930 M851932:M851941 M917443:M917449 M917460:M917462 M917465:M917466 M917468:M917477 M982979:M982985 M982996:M982998 M983001:M983002 M983004:M983013"/>
    <dataValidation type="list" allowBlank="1" showInputMessage="1" showErrorMessage="1" sqref="T74 T76 T90 T96 T107 T135 T140 T199 T203 T254 T295 T19:T21 T59:T68 T78:T79 T82:T83">
      <formula1>"未育,一胎,二胎"</formula1>
    </dataValidation>
    <dataValidation type="list" allowBlank="1" showInputMessage="1" showErrorMessage="1" sqref="AI76 AI78 AI90 AI96 AI100 AI107 AI140 AI146 AI165 AI184 AI196 AI67:AI68 AI72:AI74 AI82:AI83 AI198:AI199">
      <formula1>"内部推荐,社会招聘,校园招聘,猎头推荐,其他"</formula1>
    </dataValidation>
    <dataValidation type="list" allowBlank="1" showInputMessage="1" showErrorMessage="1" sqref="G153 G156 G159:G160">
      <formula1>"Business,Product Line,Develop,Research,Operation,BD,PMD,Tech"</formula1>
    </dataValidation>
    <dataValidation type="list" allowBlank="1" showInputMessage="1" showErrorMessage="1" sqref="G158">
      <formula1>"Business ,Product Line ,Develop ,Research ,Operation,BD,PMD,Tech"</formula1>
    </dataValidation>
    <dataValidation type="list" allowBlank="1" showInputMessage="1" showErrorMessage="1" sqref="Y176 W184 W23:W29 W179:W182">
      <formula1>[1]Sheet1!#REF!</formula1>
    </dataValidation>
    <dataValidation type="list" allowBlank="1" showInputMessage="1" showErrorMessage="1" sqref="AI206 AI212 AI219 AI222 AI239 AI242 AI282 AI288 AI215:AI217 AI224:AI226 AI229:AI230 AI233:AI236 AI258:AI259 AI264:AI269 AI292:AI293">
      <formula1>"内部推荐,招聘网站,校园招聘,猎头推荐,其他"</formula1>
    </dataValidation>
    <dataValidation type="list" allowBlank="1" showInputMessage="1" showErrorMessage="1" sqref="G218 G233 G205:G207 G210:G214 G220:G222 G224:G225 G229:G230 G235:G236">
      <formula1>"Research,Develop,Product Line,Marketing,Operation,Finance"</formula1>
    </dataValidation>
    <dataValidation type="list" allowBlank="1" showInputMessage="1" showErrorMessage="1" sqref="G237 G246 G240:G241 G243:G244">
      <formula1>"研究院,平台产品业务群组,云服务业务群组,智能物联业务群组,公共业务群组,市场部,运营部,财务部"</formula1>
    </dataValidation>
    <dataValidation type="list" allowBlank="1" showInputMessage="1" showErrorMessage="1" sqref="C14:C157 C160:C184 C186:C188">
      <formula1>"主动离职,被动离职"</formula1>
    </dataValidation>
    <dataValidation type="list" allowBlank="1" showInputMessage="1" showErrorMessage="1" sqref="G3:G13 G15:G18 G185:G186 G190:G191 G193:G194 G196:G199 G203:G204">
      <formula1>"Business ,Marketing,Product Line ,Develop ,Research ,Operation,BD,PMD,Tech"</formula1>
    </dataValidation>
    <dataValidation type="list" allowBlank="1" showInputMessage="1" showErrorMessage="1" sqref="G23:G30 G162:G164 G166:G167 G178:G184">
      <formula1>"Business,Product Line,Develop,Research,Operation"</formula1>
    </dataValidation>
    <dataValidation type="list" allowBlank="1" showInputMessage="1" showErrorMessage="1" sqref="G247:G290">
      <formula1>"研究院,平台产品业务,云服务业务,智能物联业务,公共业务,市场部,运营部,财务部"</formula1>
    </dataValidation>
    <dataValidation type="list" allowBlank="1" showInputMessage="1" showErrorMessage="1" sqref="J23:J30 J161:J184">
      <formula1>"小孔科技,旷视科技,旷智科技"</formula1>
    </dataValidation>
  </dataValidations>
  <hyperlinks>
    <hyperlink ref="AD13" r:id="rId3" display="lyq@megvii.com"/>
    <hyperlink ref="AD40" r:id="rId4" display="wxc@megvii.com"/>
    <hyperlink ref="AD38" r:id="rId5" display="jln@megvii.com"/>
    <hyperlink ref="AD20" r:id="rId6" display="yangdong@megvii.com"/>
    <hyperlink ref="AD15" r:id="rId7" display="hujun@megvii.com"/>
    <hyperlink ref="AD21" r:id="rId8" display="tianye@megvii.com"/>
    <hyperlink ref="AD22" r:id="rId9" display="majing@megvii.com"/>
    <hyperlink ref="AD5" r:id="rId10" display="baohai@megvii.com"/>
    <hyperlink ref="AD6" r:id="rId11" display="caoting@mefvii.com"/>
    <hyperlink ref="AD35" r:id="rId12" display="lsk@megvii.com"/>
    <hyperlink ref="AD36" r:id="rId13" display="gqh@megvii.com"/>
    <hyperlink ref="AD19" r:id="rId14" display="sunji@megvii.com"/>
    <hyperlink ref="AD18" r:id="rId15" display="zhangzhuo@megvii.com"/>
    <hyperlink ref="AD16" r:id="rId16" display="syh@megvii.com"/>
    <hyperlink ref="AD17" r:id="rId17" display="clj@megvii.com"/>
    <hyperlink ref="AD23" r:id="rId18" display="liudan@megvii.com"/>
    <hyperlink ref="AD24" r:id="rId19" display="wcs@megvii.com"/>
    <hyperlink ref="AD25" r:id="rId20" display="wangxuan@megvii.com"/>
    <hyperlink ref="AD26" r:id="rId21" display="drc@megvii.com"/>
    <hyperlink ref="AD27" r:id="rId22" display="zyk@megvii.com"/>
    <hyperlink ref="AD28" r:id="rId23" display="xxr@megvii.com"/>
    <hyperlink ref="AD29" r:id="rId24" display="cxm@megvii.com"/>
    <hyperlink ref="AD31" r:id="rId25" display="zhangfang@megvii.com"/>
    <hyperlink ref="AD30" r:id="rId26" display="qianqiao@megvii.com"/>
    <hyperlink ref="AD33" r:id="rId27" display="lxy@megvii.com"/>
    <hyperlink ref="AD34" r:id="rId28" display="wdy@megvii.com"/>
    <hyperlink ref="AD8" r:id="rId29" display="zys@megvii.com"/>
    <hyperlink ref="AD7" r:id="rId30" display="wzc@megvii.com"/>
    <hyperlink ref="AD44" r:id="rId31" display="oyfx@megvii.com"/>
    <hyperlink ref="AD45" r:id="rId32" display="zeyuanxy@gmail.com"/>
    <hyperlink ref="AD47" r:id="rId33" display="iterator.advance@gmail.com"/>
    <hyperlink ref="AD51" r:id="rId34" display="byr2barry@qq.com"/>
    <hyperlink ref="AD53" r:id="rId35" display="724739621@qq.com"/>
    <hyperlink ref="AD55" r:id="rId36" display="ppwwyyxxc@gmail.com"/>
    <hyperlink ref="AD60" r:id="rId37" display="zrphercule@gmai.com"/>
    <hyperlink ref="AD74" r:id="rId38" display="randonlang@gmail.com"/>
    <hyperlink ref="AC160" r:id="rId39" display="wangmingyuan@megvii.com"/>
    <hyperlink ref="AD75" r:id="rId40" display="shang_baojun@163.com"/>
    <hyperlink ref="AD82" r:id="rId41" display="qianjieye@163.com"/>
    <hyperlink ref="AD88" r:id="rId42" display="hhaiyangvc@163.com"/>
    <hyperlink ref="AC91" r:id="rId43" display="jjy@kuangzhitech.com"/>
    <hyperlink ref="AC96" r:id="rId44" display="lt@kuangzhitech.com"/>
    <hyperlink ref="AD107" r:id="rId45" display="244614948@qq.com"/>
    <hyperlink ref="AC107" r:id="rId46" display="pj@kuangzhitech.com"/>
    <hyperlink ref="AC111" r:id="rId47" display="lxj@kuangzhitech.com"/>
    <hyperlink ref="AC112" r:id="rId48" display="crc@kuangzhitech.com"/>
    <hyperlink ref="AC114" r:id="rId49" display="wzj@kuangzhitech.com"/>
    <hyperlink ref="AC113" r:id="rId50" display="lfh@kuangzhitech.com"/>
    <hyperlink ref="AD119" r:id="rId51" display="zhouqingjun@163.com"/>
    <hyperlink ref="AD121" r:id="rId52" display="rocy2000@163.com"/>
    <hyperlink ref="AD127" r:id="rId53" display="mincore@163.com" tooltip="mailto:mincore@163.com"/>
    <hyperlink ref="AC129" r:id="rId54" display="zmx@kuangzhitech.com"/>
    <hyperlink ref="AC178" r:id="rId55" display="lvxiao@megvii.com"/>
    <hyperlink ref="AC190" r:id="rId56" display="yangzhixuan@megvii.com"/>
    <hyperlink ref="AC194" r:id="rId57" display="wangyuanyuan@megvii.com"/>
    <hyperlink ref="AC203" r:id="rId58" display="heyi@megvii.com"/>
    <hyperlink ref="AD203" r:id="rId59" display="clangllvm@126.com"/>
    <hyperlink ref="AC212" r:id="rId60" display="yangjitao@megvii.com"/>
    <hyperlink ref="AD212" r:id="rId61" display="18811185006@163.com"/>
    <hyperlink ref="AC213" r:id="rId62" display="ninglijie@megvii.com"/>
    <hyperlink ref="AC215" r:id="rId63" display="fengchao@megvii.com"/>
    <hyperlink ref="AC218" r:id="rId64" display="lyt@megvii.com"/>
    <hyperlink ref="AD219" r:id="rId65" display="568409226@qq.com"/>
    <hyperlink ref="AC225" r:id="rId66" display="qishubin@megvii.com"/>
    <hyperlink ref="AC226" r:id="rId67" display="xiepeibo@megvii.com"/>
    <hyperlink ref="AC222" r:id="rId68" display="wangxiao@megvii.com"/>
    <hyperlink ref="AC223" r:id="rId69" display="chennie@megvii.com.com"/>
    <hyperlink ref="AC227" r:id="rId70" display="chenkai@megvii.com.com"/>
    <hyperlink ref="AC230" r:id="rId15" display="zhangzhuo@megvii.com"/>
    <hyperlink ref="AC231" r:id="rId71" display="jiazhipeng@megvii.com"/>
    <hyperlink ref="AC232" r:id="rId72" display="shenzhiyang@megvii.com.com"/>
    <hyperlink ref="AC234" r:id="rId73" display="wangxiaoxing@megvii.com.com"/>
    <hyperlink ref="AC233" r:id="rId74" display="gaolei@megvii.com"/>
    <hyperlink ref="AC239" r:id="rId75" display="liliang@megvii.com"/>
    <hyperlink ref="AC235" r:id="rId76" display="lvzhixuan@megvii.com"/>
    <hyperlink ref="AC240" r:id="rId77" display="zhaojinhao@megvii.com"/>
    <hyperlink ref="AC242" r:id="rId78" display="chenxueyi@megvii.com.com"/>
    <hyperlink ref="AC243" r:id="rId79" display="wangqibin@megvii.com"/>
    <hyperlink ref="AC244" r:id="rId80" display="jiangqinhui@megvii.com"/>
    <hyperlink ref="AC245" r:id="rId81" display="huangrujian@megvii.com.com"/>
    <hyperlink ref="AC246" r:id="rId82" display="yekun@megvii.com"/>
    <hyperlink ref="AC247" r:id="rId83" display="wangzheng@megvii.com"/>
    <hyperlink ref="AC248" r:id="rId84" display="yeborui@megvii.com"/>
    <hyperlink ref="AD248" r:id="rId85" display="boruiye@outlook.com"/>
    <hyperlink ref="AC249" r:id="rId86" display="youyuming@megvii.com"/>
    <hyperlink ref="AC250" r:id="rId87" display="fengbinglin@megvii.com"/>
    <hyperlink ref="AC251" r:id="rId88" display="zhoufeng@megvii.com"/>
    <hyperlink ref="AC252" r:id="rId89" display="wangwentao@megvii.com"/>
    <hyperlink ref="AC253" r:id="rId90" display="mashuangwei@megvii.com"/>
    <hyperlink ref="AC256" r:id="rId91" display="wangzhe@megvii.com"/>
    <hyperlink ref="AC257" r:id="rId92" display="tangminjie@megvii.com.com"/>
    <hyperlink ref="AC259" r:id="rId93" display="yangjinping@megvii.com"/>
    <hyperlink ref="AC260" r:id="rId94" display="zhujin@megvii.com"/>
    <hyperlink ref="AC263" r:id="rId95" display="shihanyuan@megvii.com"/>
    <hyperlink ref="AC261" r:id="rId96" display="zhanghao@megvii.com"/>
    <hyperlink ref="AC264" r:id="rId97" display="wuyongjie@megvii.com"/>
    <hyperlink ref="AC265" r:id="rId98" display="huyong@megvii.com"/>
    <hyperlink ref="AC266" r:id="rId99" display="xiaoyu@megvii.com"/>
    <hyperlink ref="AC267" r:id="rId100" display="jinguang@megvii.com"/>
    <hyperlink ref="AC268" r:id="rId101" display="liujingyang@megvii.com"/>
    <hyperlink ref="AC269" r:id="rId102" display="lizhenxing@megvii.com"/>
    <hyperlink ref="AC270" r:id="rId103" display="sundengbo@megvii.com"/>
    <hyperlink ref="AC271" r:id="rId104" display="lijiaxin@megvii.com"/>
    <hyperlink ref="AC272" r:id="rId105" display="taoqi@megvii.com"/>
    <hyperlink ref="AC273" r:id="rId106" display="huqianli@megvii.com"/>
    <hyperlink ref="AC274" r:id="rId107" display="wuyingmin@megvii.com"/>
    <hyperlink ref="AC275" r:id="rId108" display="tongchao@megvii.com"/>
    <hyperlink ref="AC276" r:id="rId109" display="zhuxiaoqi@megvii.com"/>
    <hyperlink ref="AC277" r:id="rId110" display="lijun@megvii.com"/>
    <hyperlink ref="AC279" r:id="rId111" display="lijinyin@megvii.com"/>
    <hyperlink ref="AC281" r:id="rId112" display="ruanyuedong@megvii.com"/>
    <hyperlink ref="AC282" r:id="rId113" display="gongxun@megvii.com"/>
    <hyperlink ref="AC283" r:id="rId114" display="tenghongbin@megvii.com"/>
    <hyperlink ref="AC284" r:id="rId115" display="shaojiancheng@megvii.com"/>
    <hyperlink ref="AC285" r:id="rId116" display="jinzi@megvii.com"/>
    <hyperlink ref="AC286" r:id="rId117" display="tanglibo@megvii.com"/>
    <hyperlink ref="AC287" r:id="rId118" display="gongjian@megvii.com"/>
    <hyperlink ref="AC289" r:id="rId119" display="zhouhaizhou@megvii.com"/>
    <hyperlink ref="AC290" r:id="rId120" display="rumin@megvii.com"/>
    <hyperlink ref="AC291" r:id="rId121" display="lindingguo@megvii.com"/>
    <hyperlink ref="AC294" r:id="rId122" display="liuzenan@megvii.com"/>
    <hyperlink ref="AC296" r:id="rId123" display="dudayou@megvii.com"/>
    <hyperlink ref="AC297" r:id="rId124" display="hanwenqin@megvii.com"/>
    <hyperlink ref="AC298" r:id="rId125" display="shenjian@megvii.com"/>
    <hyperlink ref="AC299" r:id="rId126" display="zhuangjun@megvii.com"/>
    <hyperlink ref="AC300" r:id="rId127" display="yulinyun@megvii.com"/>
    <hyperlink ref="AC301" r:id="rId128" display="pengzewen@megvii.com"/>
    <hyperlink ref="AC302" r:id="rId129" display="likangwei@megvii.com"/>
    <hyperlink ref="AC303" r:id="rId130" display="pengfangyue@megvii.com"/>
  </hyperlinks>
  <pageMargins left="0.699305555555556" right="0.699305555555556"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53:M815"/>
  <sheetViews>
    <sheetView topLeftCell="A132" workbookViewId="0">
      <selection activeCell="I81" sqref="I81"/>
    </sheetView>
  </sheetViews>
  <sheetFormatPr defaultColWidth="8.875" defaultRowHeight="16.8"/>
  <cols>
    <col min="1" max="1" width="8.875" style="2"/>
    <col min="2" max="2" width="13.625" style="2" customWidth="1"/>
    <col min="3" max="3" width="9.625" style="2" customWidth="1"/>
    <col min="4" max="4" width="40.625" style="2" customWidth="1"/>
    <col min="5" max="5" width="11.625" style="2" customWidth="1"/>
    <col min="6" max="6" width="13.875" style="2" customWidth="1"/>
    <col min="7" max="7" width="16.625" style="2" customWidth="1"/>
    <col min="8" max="8" width="8.875" style="2"/>
    <col min="9" max="9" width="13.625" style="2" customWidth="1"/>
    <col min="10" max="10" width="17.125" style="2" customWidth="1"/>
    <col min="11" max="11" width="19.625" style="2" customWidth="1"/>
    <col min="12" max="16384" width="8.875" style="2"/>
  </cols>
  <sheetData>
    <row r="53" spans="2:6">
      <c r="B53" s="3">
        <v>1</v>
      </c>
      <c r="C53" s="4" t="s">
        <v>654</v>
      </c>
      <c r="D53" s="5" t="s">
        <v>215</v>
      </c>
      <c r="E53" s="6">
        <v>42836</v>
      </c>
      <c r="F53" s="7"/>
    </row>
    <row r="54" spans="2:6">
      <c r="B54" s="8">
        <v>2</v>
      </c>
      <c r="C54" s="8" t="s">
        <v>664</v>
      </c>
      <c r="D54" s="8" t="s">
        <v>86</v>
      </c>
      <c r="E54" s="6">
        <v>42838</v>
      </c>
      <c r="F54" s="9"/>
    </row>
    <row r="55" spans="2:6">
      <c r="B55" s="3">
        <v>3</v>
      </c>
      <c r="C55" s="8" t="s">
        <v>670</v>
      </c>
      <c r="D55" s="8" t="s">
        <v>47</v>
      </c>
      <c r="E55" s="6">
        <v>42845</v>
      </c>
      <c r="F55" s="9"/>
    </row>
    <row r="56" spans="2:6">
      <c r="B56" s="8">
        <v>4</v>
      </c>
      <c r="C56" s="8" t="s">
        <v>671</v>
      </c>
      <c r="D56" s="8" t="s">
        <v>3478</v>
      </c>
      <c r="E56" s="6">
        <v>42845</v>
      </c>
      <c r="F56" s="9"/>
    </row>
    <row r="57" spans="2:6">
      <c r="B57" s="3">
        <v>5</v>
      </c>
      <c r="C57" s="8" t="s">
        <v>683</v>
      </c>
      <c r="D57" s="8" t="s">
        <v>540</v>
      </c>
      <c r="E57" s="6">
        <v>42857</v>
      </c>
      <c r="F57" s="9"/>
    </row>
    <row r="58" spans="2:6">
      <c r="B58" s="8">
        <v>6</v>
      </c>
      <c r="C58" s="8" t="s">
        <v>685</v>
      </c>
      <c r="D58" s="8" t="s">
        <v>540</v>
      </c>
      <c r="E58" s="6">
        <v>42858</v>
      </c>
      <c r="F58" s="9"/>
    </row>
    <row r="59" spans="2:6">
      <c r="B59" s="3">
        <v>7</v>
      </c>
      <c r="C59" s="8" t="s">
        <v>688</v>
      </c>
      <c r="D59" s="8" t="s">
        <v>86</v>
      </c>
      <c r="E59" s="6">
        <v>42863</v>
      </c>
      <c r="F59" s="9"/>
    </row>
    <row r="60" spans="2:6">
      <c r="B60" s="8">
        <v>8</v>
      </c>
      <c r="C60" s="4" t="s">
        <v>633</v>
      </c>
      <c r="D60" s="4" t="s">
        <v>540</v>
      </c>
      <c r="E60" s="6">
        <v>42826</v>
      </c>
      <c r="F60" s="9"/>
    </row>
    <row r="61" spans="2:6">
      <c r="B61" s="3">
        <v>9</v>
      </c>
      <c r="C61" s="4" t="s">
        <v>634</v>
      </c>
      <c r="D61" s="4" t="s">
        <v>86</v>
      </c>
      <c r="E61" s="6">
        <v>42826</v>
      </c>
      <c r="F61" s="9"/>
    </row>
    <row r="62" spans="2:6">
      <c r="B62" s="8">
        <v>10</v>
      </c>
      <c r="C62" s="8" t="s">
        <v>646</v>
      </c>
      <c r="D62" s="8" t="s">
        <v>540</v>
      </c>
      <c r="E62" s="6">
        <v>42832</v>
      </c>
      <c r="F62" s="9"/>
    </row>
    <row r="63" spans="2:6">
      <c r="B63" s="3">
        <v>11</v>
      </c>
      <c r="C63" s="8" t="s">
        <v>650</v>
      </c>
      <c r="D63" s="8" t="s">
        <v>86</v>
      </c>
      <c r="E63" s="6">
        <v>42835</v>
      </c>
      <c r="F63" s="9"/>
    </row>
    <row r="64" spans="2:6">
      <c r="B64" s="8">
        <v>12</v>
      </c>
      <c r="C64" s="8" t="s">
        <v>608</v>
      </c>
      <c r="D64" s="8" t="s">
        <v>86</v>
      </c>
      <c r="E64" s="6">
        <v>42809</v>
      </c>
      <c r="F64" s="9"/>
    </row>
    <row r="65" spans="2:9">
      <c r="B65" s="3">
        <v>13</v>
      </c>
      <c r="C65" s="8" t="s">
        <v>609</v>
      </c>
      <c r="D65" s="8" t="s">
        <v>86</v>
      </c>
      <c r="E65" s="6">
        <v>42809</v>
      </c>
      <c r="F65" s="9"/>
    </row>
    <row r="66" spans="2:9">
      <c r="B66" s="8">
        <v>14</v>
      </c>
      <c r="C66" s="8" t="s">
        <v>567</v>
      </c>
      <c r="D66" s="8" t="s">
        <v>565</v>
      </c>
      <c r="E66" s="6">
        <v>42775</v>
      </c>
      <c r="F66" s="9"/>
    </row>
    <row r="67" spans="2:9">
      <c r="B67" s="3">
        <v>15</v>
      </c>
      <c r="C67" s="8" t="s">
        <v>618</v>
      </c>
      <c r="D67" s="8" t="s">
        <v>86</v>
      </c>
      <c r="E67" s="6">
        <v>42816</v>
      </c>
      <c r="F67" s="9"/>
    </row>
    <row r="68" spans="2:9">
      <c r="B68" s="8">
        <v>16</v>
      </c>
      <c r="C68" s="8" t="s">
        <v>624</v>
      </c>
      <c r="D68" s="8" t="s">
        <v>540</v>
      </c>
      <c r="E68" s="6">
        <v>42821</v>
      </c>
      <c r="F68" s="9"/>
    </row>
    <row r="69" spans="2:9">
      <c r="B69" s="3">
        <v>17</v>
      </c>
      <c r="C69" s="8" t="s">
        <v>569</v>
      </c>
      <c r="D69" s="8"/>
      <c r="E69" s="8"/>
      <c r="F69" s="9"/>
    </row>
    <row r="72" ht="20.4" spans="2:9">
      <c r="B72" s="10" t="s">
        <v>3479</v>
      </c>
    </row>
    <row r="73" spans="2:9">
      <c r="B73" s="11">
        <v>42892</v>
      </c>
    </row>
    <row r="74" ht="17.55" spans="2:9">
      <c r="B74" s="12" t="s">
        <v>3480</v>
      </c>
    </row>
    <row r="75" ht="18.75" customHeight="1" spans="2:9">
      <c r="B75" s="13" t="s">
        <v>3481</v>
      </c>
      <c r="C75" s="14" t="s">
        <v>3</v>
      </c>
      <c r="D75" s="14" t="s">
        <v>3482</v>
      </c>
      <c r="E75" s="15" t="s">
        <v>745</v>
      </c>
      <c r="F75" s="16" t="s">
        <v>3483</v>
      </c>
    </row>
    <row r="76" ht="22.7" customHeight="1" spans="2:9">
      <c r="B76" s="17">
        <v>1</v>
      </c>
      <c r="C76" s="5" t="s">
        <v>654</v>
      </c>
      <c r="D76" s="5" t="s">
        <v>215</v>
      </c>
      <c r="E76" s="6">
        <v>42836</v>
      </c>
      <c r="F76" s="18"/>
      <c r="I76" s="19"/>
    </row>
    <row r="77" ht="22.7" customHeight="1" spans="2:9">
      <c r="B77" s="17">
        <v>2</v>
      </c>
      <c r="C77" s="5" t="s">
        <v>655</v>
      </c>
      <c r="D77" s="5" t="s">
        <v>101</v>
      </c>
      <c r="E77" s="6">
        <v>42836</v>
      </c>
      <c r="F77" s="18"/>
      <c r="I77" s="20"/>
    </row>
    <row r="78" ht="22.5" customHeight="1" spans="2:9">
      <c r="B78" s="17">
        <v>3</v>
      </c>
      <c r="C78" s="19" t="s">
        <v>658</v>
      </c>
      <c r="D78" s="5" t="s">
        <v>18</v>
      </c>
      <c r="E78" s="6">
        <v>42836</v>
      </c>
      <c r="F78" s="18"/>
    </row>
    <row r="79" ht="22.5" customHeight="1" spans="2:9">
      <c r="B79" s="17">
        <v>4</v>
      </c>
      <c r="C79" s="5" t="s">
        <v>662</v>
      </c>
      <c r="D79" s="5" t="s">
        <v>130</v>
      </c>
      <c r="E79" s="6">
        <v>42837</v>
      </c>
      <c r="F79" s="18"/>
    </row>
    <row r="80" ht="22.5" customHeight="1" spans="2:9">
      <c r="B80" s="17">
        <v>5</v>
      </c>
      <c r="C80" s="5" t="s">
        <v>664</v>
      </c>
      <c r="D80" s="5" t="s">
        <v>86</v>
      </c>
      <c r="E80" s="6">
        <v>42838</v>
      </c>
      <c r="F80" s="18"/>
    </row>
    <row r="81" ht="22.5" customHeight="1" spans="2:6">
      <c r="B81" s="17">
        <v>6</v>
      </c>
      <c r="C81" s="5" t="s">
        <v>665</v>
      </c>
      <c r="D81" s="5" t="s">
        <v>47</v>
      </c>
      <c r="E81" s="6">
        <v>42839</v>
      </c>
      <c r="F81" s="18"/>
    </row>
    <row r="82" ht="22.5" customHeight="1" spans="2:6">
      <c r="B82" s="17">
        <v>7</v>
      </c>
      <c r="C82" s="5" t="s">
        <v>668</v>
      </c>
      <c r="D82" s="5" t="s">
        <v>26</v>
      </c>
      <c r="E82" s="6">
        <v>42843</v>
      </c>
      <c r="F82" s="18"/>
    </row>
    <row r="83" ht="22.5" customHeight="1" spans="2:6">
      <c r="B83" s="17">
        <v>8</v>
      </c>
      <c r="C83" s="5" t="s">
        <v>669</v>
      </c>
      <c r="D83" s="5" t="s">
        <v>47</v>
      </c>
      <c r="E83" s="6">
        <v>42843</v>
      </c>
      <c r="F83" s="18"/>
    </row>
    <row r="84" ht="22.5" customHeight="1" spans="2:6">
      <c r="B84" s="17">
        <v>9</v>
      </c>
      <c r="C84" s="5" t="s">
        <v>670</v>
      </c>
      <c r="D84" s="5" t="s">
        <v>47</v>
      </c>
      <c r="E84" s="6">
        <v>42845</v>
      </c>
      <c r="F84" s="18"/>
    </row>
    <row r="85" ht="22.5" customHeight="1" spans="2:6">
      <c r="B85" s="17">
        <v>10</v>
      </c>
      <c r="C85" s="5" t="s">
        <v>671</v>
      </c>
      <c r="D85" s="5" t="s">
        <v>3478</v>
      </c>
      <c r="E85" s="6">
        <v>42845</v>
      </c>
      <c r="F85" s="18"/>
    </row>
    <row r="86" ht="22.5" customHeight="1" spans="2:6">
      <c r="B86" s="17">
        <v>11</v>
      </c>
      <c r="C86" s="5" t="s">
        <v>672</v>
      </c>
      <c r="D86" s="5" t="s">
        <v>556</v>
      </c>
      <c r="E86" s="6">
        <v>42845</v>
      </c>
      <c r="F86" s="18"/>
    </row>
    <row r="87" ht="22.5" customHeight="1" spans="2:6">
      <c r="B87" s="17">
        <v>12</v>
      </c>
      <c r="C87" s="5" t="s">
        <v>673</v>
      </c>
      <c r="D87" s="5" t="s">
        <v>565</v>
      </c>
      <c r="E87" s="6">
        <v>42849</v>
      </c>
      <c r="F87" s="18"/>
    </row>
    <row r="88" ht="22.5" customHeight="1" spans="2:6">
      <c r="B88" s="17">
        <v>13</v>
      </c>
      <c r="C88" s="19" t="s">
        <v>674</v>
      </c>
      <c r="D88" s="5" t="s">
        <v>225</v>
      </c>
      <c r="E88" s="6">
        <v>42849</v>
      </c>
      <c r="F88" s="18"/>
    </row>
    <row r="89" ht="22.5" customHeight="1" spans="2:6">
      <c r="B89" s="17">
        <v>14</v>
      </c>
      <c r="C89" s="5" t="s">
        <v>676</v>
      </c>
      <c r="D89" s="5" t="s">
        <v>225</v>
      </c>
      <c r="E89" s="6">
        <v>42849</v>
      </c>
      <c r="F89" s="18"/>
    </row>
    <row r="90" ht="22.5" customHeight="1" spans="2:6">
      <c r="B90" s="17">
        <v>15</v>
      </c>
      <c r="C90" s="5" t="s">
        <v>679</v>
      </c>
      <c r="D90" s="5" t="s">
        <v>125</v>
      </c>
      <c r="E90" s="6">
        <v>42851</v>
      </c>
      <c r="F90" s="18"/>
    </row>
    <row r="91" ht="22.5" customHeight="1" spans="2:6">
      <c r="B91" s="17">
        <v>16</v>
      </c>
      <c r="C91" s="19" t="s">
        <v>681</v>
      </c>
      <c r="D91" s="5" t="s">
        <v>244</v>
      </c>
      <c r="E91" s="6">
        <v>42857</v>
      </c>
      <c r="F91" s="18"/>
    </row>
    <row r="92" ht="22.5" customHeight="1" spans="2:6">
      <c r="B92" s="17">
        <v>17</v>
      </c>
      <c r="C92" s="19" t="s">
        <v>683</v>
      </c>
      <c r="D92" s="5" t="s">
        <v>540</v>
      </c>
      <c r="E92" s="6">
        <v>42857</v>
      </c>
      <c r="F92" s="18"/>
    </row>
    <row r="93" ht="22.5" customHeight="1" spans="2:6">
      <c r="B93" s="17">
        <v>18</v>
      </c>
      <c r="C93" s="19" t="s">
        <v>685</v>
      </c>
      <c r="D93" s="5" t="s">
        <v>540</v>
      </c>
      <c r="E93" s="6">
        <v>42858</v>
      </c>
      <c r="F93" s="18"/>
    </row>
    <row r="94" ht="22.5" customHeight="1" spans="2:6">
      <c r="B94" s="17">
        <v>19</v>
      </c>
      <c r="C94" s="5" t="s">
        <v>686</v>
      </c>
      <c r="D94" s="5" t="s">
        <v>106</v>
      </c>
      <c r="E94" s="6">
        <v>42858</v>
      </c>
      <c r="F94" s="18"/>
    </row>
    <row r="95" ht="22.5" customHeight="1" spans="2:6">
      <c r="B95" s="17">
        <v>20</v>
      </c>
      <c r="C95" s="5" t="s">
        <v>688</v>
      </c>
      <c r="D95" s="5" t="s">
        <v>86</v>
      </c>
      <c r="E95" s="6">
        <v>42863</v>
      </c>
      <c r="F95" s="18"/>
    </row>
    <row r="96" ht="22.5" customHeight="1" spans="2:6">
      <c r="B96" s="17">
        <v>21</v>
      </c>
      <c r="C96" s="5" t="s">
        <v>691</v>
      </c>
      <c r="D96" s="5" t="s">
        <v>18</v>
      </c>
      <c r="E96" s="6">
        <v>42863</v>
      </c>
      <c r="F96" s="18"/>
    </row>
    <row r="97" ht="22.5" customHeight="1" spans="2:6">
      <c r="B97" s="17">
        <v>22</v>
      </c>
      <c r="C97" s="19" t="s">
        <v>693</v>
      </c>
      <c r="D97" s="5" t="s">
        <v>18</v>
      </c>
      <c r="E97" s="6">
        <v>42863</v>
      </c>
      <c r="F97" s="18"/>
    </row>
    <row r="98" ht="22.5" customHeight="1" spans="2:6">
      <c r="B98" s="17">
        <v>23</v>
      </c>
      <c r="C98" s="5" t="s">
        <v>696</v>
      </c>
      <c r="D98" s="5" t="s">
        <v>18</v>
      </c>
      <c r="E98" s="6">
        <v>42866</v>
      </c>
      <c r="F98" s="18"/>
    </row>
    <row r="99" ht="22.5" customHeight="1" spans="2:6">
      <c r="B99" s="17">
        <v>24</v>
      </c>
      <c r="C99" s="5" t="s">
        <v>697</v>
      </c>
      <c r="D99" s="5" t="s">
        <v>130</v>
      </c>
      <c r="E99" s="6">
        <v>42867</v>
      </c>
      <c r="F99" s="18"/>
    </row>
    <row r="100" ht="22.5" customHeight="1" spans="2:6">
      <c r="B100" s="17">
        <v>25</v>
      </c>
      <c r="C100" s="5" t="s">
        <v>701</v>
      </c>
      <c r="D100" s="5" t="s">
        <v>212</v>
      </c>
      <c r="E100" s="6">
        <v>42870</v>
      </c>
      <c r="F100" s="18"/>
    </row>
    <row r="101" ht="22.5" customHeight="1" spans="2:6">
      <c r="B101" s="17">
        <v>26</v>
      </c>
      <c r="C101" s="5" t="s">
        <v>703</v>
      </c>
      <c r="D101" s="5" t="s">
        <v>3484</v>
      </c>
      <c r="E101" s="6">
        <v>42870</v>
      </c>
      <c r="F101" s="21"/>
    </row>
    <row r="102" ht="22.5" customHeight="1" spans="2:6">
      <c r="B102" s="22">
        <v>27</v>
      </c>
      <c r="C102" s="23" t="s">
        <v>708</v>
      </c>
      <c r="D102" s="23" t="s">
        <v>26</v>
      </c>
      <c r="E102" s="24">
        <v>42871</v>
      </c>
      <c r="F102" s="25"/>
    </row>
    <row r="103" ht="22.5" customHeight="1"/>
    <row r="104" ht="22.7" customHeight="1"/>
    <row r="105" ht="20.4" spans="2:6">
      <c r="B105" s="10" t="s">
        <v>3479</v>
      </c>
    </row>
    <row r="106" ht="18.75" customHeight="1" spans="2:6">
      <c r="B106" s="11">
        <v>42888</v>
      </c>
    </row>
    <row r="107" ht="17.55" spans="2:6">
      <c r="B107" s="12" t="s">
        <v>3480</v>
      </c>
    </row>
    <row r="108" spans="2:6">
      <c r="B108" s="13" t="s">
        <v>3481</v>
      </c>
      <c r="C108" s="14" t="s">
        <v>3</v>
      </c>
      <c r="D108" s="14" t="s">
        <v>3482</v>
      </c>
      <c r="E108" s="15" t="s">
        <v>745</v>
      </c>
      <c r="F108" s="16" t="s">
        <v>3483</v>
      </c>
    </row>
    <row r="109" ht="22.7" customHeight="1" spans="2:6">
      <c r="B109" s="17">
        <v>1</v>
      </c>
      <c r="C109" s="5" t="s">
        <v>629</v>
      </c>
      <c r="D109" s="5" t="s">
        <v>170</v>
      </c>
      <c r="E109" s="6">
        <v>42825</v>
      </c>
      <c r="F109" s="18"/>
    </row>
    <row r="110" ht="22.5" customHeight="1" spans="2:6">
      <c r="B110" s="26">
        <v>2</v>
      </c>
      <c r="C110" s="4" t="s">
        <v>631</v>
      </c>
      <c r="D110" s="4" t="s">
        <v>78</v>
      </c>
      <c r="E110" s="27">
        <v>42826</v>
      </c>
      <c r="F110" s="28"/>
    </row>
    <row r="111" ht="22.5" customHeight="1" spans="2:6">
      <c r="B111" s="26">
        <v>3</v>
      </c>
      <c r="C111" s="4" t="s">
        <v>633</v>
      </c>
      <c r="D111" s="4" t="s">
        <v>540</v>
      </c>
      <c r="E111" s="27">
        <v>42826</v>
      </c>
      <c r="F111" s="28"/>
    </row>
    <row r="112" ht="22.5" customHeight="1" spans="2:6">
      <c r="B112" s="26">
        <v>4</v>
      </c>
      <c r="C112" s="4" t="s">
        <v>634</v>
      </c>
      <c r="D112" s="4" t="s">
        <v>86</v>
      </c>
      <c r="E112" s="27">
        <v>42826</v>
      </c>
      <c r="F112" s="28"/>
    </row>
    <row r="113" ht="22.5" customHeight="1" spans="2:13">
      <c r="B113" s="17">
        <v>5</v>
      </c>
      <c r="C113" s="5" t="s">
        <v>635</v>
      </c>
      <c r="D113" s="5" t="s">
        <v>565</v>
      </c>
      <c r="E113" s="6">
        <v>42826</v>
      </c>
      <c r="F113" s="18"/>
    </row>
    <row r="114" ht="22.5" customHeight="1" spans="2:13">
      <c r="B114" s="17">
        <v>6</v>
      </c>
      <c r="C114" s="5" t="s">
        <v>636</v>
      </c>
      <c r="D114" s="5" t="s">
        <v>212</v>
      </c>
      <c r="E114" s="6">
        <v>42830</v>
      </c>
      <c r="F114" s="18"/>
    </row>
    <row r="115" ht="22.5" customHeight="1" spans="2:13">
      <c r="B115" s="17">
        <v>7</v>
      </c>
      <c r="C115" s="5" t="s">
        <v>637</v>
      </c>
      <c r="D115" s="5" t="s">
        <v>638</v>
      </c>
      <c r="E115" s="6">
        <v>42830</v>
      </c>
      <c r="F115" s="18"/>
    </row>
    <row r="116" ht="22.5" customHeight="1" spans="2:13">
      <c r="B116" s="17">
        <v>8</v>
      </c>
      <c r="C116" s="5" t="s">
        <v>639</v>
      </c>
      <c r="D116" s="5" t="s">
        <v>640</v>
      </c>
      <c r="E116" s="6">
        <v>42830</v>
      </c>
      <c r="F116" s="18"/>
    </row>
    <row r="117" ht="22.5" customHeight="1" spans="2:13">
      <c r="B117" s="17">
        <v>9</v>
      </c>
      <c r="C117" s="5" t="s">
        <v>642</v>
      </c>
      <c r="D117" s="5" t="s">
        <v>565</v>
      </c>
      <c r="E117" s="6">
        <v>42826</v>
      </c>
      <c r="F117" s="18"/>
    </row>
    <row r="118" ht="22.5" customHeight="1" spans="2:13">
      <c r="B118" s="17">
        <v>10</v>
      </c>
      <c r="C118" s="5" t="s">
        <v>643</v>
      </c>
      <c r="D118" s="5" t="s">
        <v>55</v>
      </c>
      <c r="E118" s="6">
        <v>42830</v>
      </c>
      <c r="F118" s="18"/>
    </row>
    <row r="119" ht="22.5" customHeight="1" spans="2:13">
      <c r="B119" s="17">
        <v>11</v>
      </c>
      <c r="C119" s="5" t="s">
        <v>645</v>
      </c>
      <c r="D119" s="5" t="s">
        <v>32</v>
      </c>
      <c r="E119" s="6">
        <v>42831</v>
      </c>
      <c r="F119" s="18"/>
    </row>
    <row r="120" ht="22.5" customHeight="1" spans="2:13">
      <c r="B120" s="26">
        <v>12</v>
      </c>
      <c r="C120" s="4" t="s">
        <v>646</v>
      </c>
      <c r="D120" s="4" t="s">
        <v>540</v>
      </c>
      <c r="E120" s="27">
        <v>42832</v>
      </c>
      <c r="F120" s="28"/>
    </row>
    <row r="121" ht="22.5" customHeight="1" spans="2:13">
      <c r="B121" s="17">
        <v>13</v>
      </c>
      <c r="C121" s="5" t="s">
        <v>648</v>
      </c>
      <c r="D121" s="5" t="s">
        <v>565</v>
      </c>
      <c r="E121" s="6">
        <v>42835</v>
      </c>
      <c r="F121" s="18"/>
      <c r="I121" s="29">
        <v>9</v>
      </c>
      <c r="J121" s="30" t="s">
        <v>608</v>
      </c>
      <c r="K121" s="30" t="s">
        <v>3478</v>
      </c>
      <c r="L121" s="31">
        <v>42809</v>
      </c>
      <c r="M121" s="32"/>
    </row>
    <row r="122" ht="22.5" customHeight="1" spans="2:13">
      <c r="B122" s="26">
        <v>14</v>
      </c>
      <c r="C122" s="4" t="s">
        <v>650</v>
      </c>
      <c r="D122" s="4" t="s">
        <v>86</v>
      </c>
      <c r="E122" s="27">
        <v>42835</v>
      </c>
      <c r="F122" s="28"/>
      <c r="I122" s="29">
        <v>10</v>
      </c>
      <c r="J122" s="30" t="s">
        <v>609</v>
      </c>
      <c r="K122" s="30" t="s">
        <v>3478</v>
      </c>
      <c r="L122" s="31">
        <v>42809</v>
      </c>
      <c r="M122" s="32"/>
    </row>
    <row r="123" ht="22.5" customHeight="1" spans="2:13">
      <c r="B123" s="26">
        <v>15</v>
      </c>
      <c r="C123" s="4" t="s">
        <v>651</v>
      </c>
      <c r="D123" s="4" t="s">
        <v>540</v>
      </c>
      <c r="E123" s="27">
        <v>42835</v>
      </c>
      <c r="F123" s="28"/>
      <c r="I123" s="29">
        <v>12</v>
      </c>
      <c r="J123" s="30" t="s">
        <v>566</v>
      </c>
      <c r="K123" s="30" t="s">
        <v>3485</v>
      </c>
      <c r="L123" s="31">
        <v>42774</v>
      </c>
      <c r="M123" s="32"/>
    </row>
    <row r="124" ht="22.5" customHeight="1" spans="2:13">
      <c r="B124" s="17">
        <v>16</v>
      </c>
      <c r="C124" s="5" t="s">
        <v>653</v>
      </c>
      <c r="D124" s="5" t="s">
        <v>133</v>
      </c>
      <c r="E124" s="6">
        <v>42835</v>
      </c>
      <c r="F124" s="18"/>
      <c r="I124" s="29">
        <v>18</v>
      </c>
      <c r="J124" s="30" t="s">
        <v>567</v>
      </c>
      <c r="K124" s="30" t="s">
        <v>3486</v>
      </c>
      <c r="L124" s="31">
        <v>42775</v>
      </c>
      <c r="M124" s="32"/>
    </row>
    <row r="125" ht="22.5" customHeight="1" spans="2:13">
      <c r="B125" s="26">
        <v>17</v>
      </c>
      <c r="C125" s="4" t="s">
        <v>608</v>
      </c>
      <c r="D125" s="4" t="s">
        <v>86</v>
      </c>
      <c r="E125" s="27">
        <v>42809</v>
      </c>
      <c r="F125" s="28"/>
      <c r="I125" s="17">
        <v>2</v>
      </c>
      <c r="J125" s="5" t="s">
        <v>597</v>
      </c>
      <c r="K125" s="5" t="s">
        <v>3487</v>
      </c>
      <c r="L125" s="6">
        <v>42800</v>
      </c>
      <c r="M125" s="18"/>
    </row>
    <row r="126" ht="22.5" customHeight="1" spans="2:13">
      <c r="B126" s="26">
        <v>18</v>
      </c>
      <c r="C126" s="4" t="s">
        <v>609</v>
      </c>
      <c r="D126" s="4" t="s">
        <v>86</v>
      </c>
      <c r="E126" s="27">
        <v>42809</v>
      </c>
      <c r="F126" s="28"/>
      <c r="J126" s="2" t="s">
        <v>618</v>
      </c>
    </row>
    <row r="127" ht="22.5" customHeight="1" spans="2:13">
      <c r="B127" s="17">
        <v>19</v>
      </c>
      <c r="C127" s="5" t="s">
        <v>566</v>
      </c>
      <c r="D127" s="5" t="s">
        <v>540</v>
      </c>
      <c r="E127" s="6">
        <v>42774</v>
      </c>
      <c r="F127" s="18"/>
      <c r="J127" s="2" t="s">
        <v>617</v>
      </c>
    </row>
    <row r="128" ht="22.5" customHeight="1" spans="2:13">
      <c r="B128" s="26">
        <v>20</v>
      </c>
      <c r="C128" s="4" t="s">
        <v>567</v>
      </c>
      <c r="D128" s="4" t="s">
        <v>565</v>
      </c>
      <c r="E128" s="27">
        <v>42775</v>
      </c>
      <c r="F128" s="28"/>
      <c r="J128" s="2" t="s">
        <v>622</v>
      </c>
    </row>
    <row r="129" ht="22.5" customHeight="1" spans="2:10">
      <c r="B129" s="26">
        <v>21</v>
      </c>
      <c r="C129" s="4" t="s">
        <v>618</v>
      </c>
      <c r="D129" s="4" t="s">
        <v>86</v>
      </c>
      <c r="E129" s="27">
        <v>42816</v>
      </c>
      <c r="F129" s="28"/>
      <c r="J129" s="2" t="s">
        <v>623</v>
      </c>
    </row>
    <row r="130" ht="22.5" customHeight="1" spans="2:10">
      <c r="B130" s="17">
        <v>22</v>
      </c>
      <c r="C130" s="5" t="s">
        <v>617</v>
      </c>
      <c r="D130" s="5" t="s">
        <v>86</v>
      </c>
      <c r="E130" s="6">
        <v>42815</v>
      </c>
      <c r="F130" s="18"/>
      <c r="J130" s="2" t="s">
        <v>624</v>
      </c>
    </row>
    <row r="131" ht="22.5" customHeight="1" spans="2:10">
      <c r="B131" s="17">
        <v>23</v>
      </c>
      <c r="C131" s="5" t="s">
        <v>622</v>
      </c>
      <c r="D131" s="5" t="s">
        <v>106</v>
      </c>
      <c r="E131" s="6">
        <v>42821</v>
      </c>
      <c r="F131" s="18"/>
      <c r="J131" s="2" t="s">
        <v>626</v>
      </c>
    </row>
    <row r="132" ht="22.5" customHeight="1" spans="2:10">
      <c r="B132" s="17">
        <v>24</v>
      </c>
      <c r="C132" s="5" t="s">
        <v>623</v>
      </c>
      <c r="D132" s="5" t="s">
        <v>86</v>
      </c>
      <c r="E132" s="6">
        <v>42821</v>
      </c>
      <c r="F132" s="18"/>
    </row>
    <row r="133" ht="22.5" customHeight="1" spans="2:10">
      <c r="B133" s="26">
        <v>25</v>
      </c>
      <c r="C133" s="4" t="s">
        <v>624</v>
      </c>
      <c r="D133" s="4" t="s">
        <v>540</v>
      </c>
      <c r="E133" s="27">
        <v>42821</v>
      </c>
      <c r="F133" s="28"/>
    </row>
    <row r="134" ht="22.5" customHeight="1" spans="2:10">
      <c r="B134" s="22">
        <v>26</v>
      </c>
      <c r="C134" s="23" t="s">
        <v>626</v>
      </c>
      <c r="D134" s="23" t="s">
        <v>556</v>
      </c>
      <c r="E134" s="24">
        <v>42823</v>
      </c>
      <c r="F134" s="25"/>
    </row>
    <row r="135" ht="22.5" customHeight="1"/>
    <row r="136" ht="22.5" customHeight="1" spans="2:10">
      <c r="B136" s="10" t="s">
        <v>3479</v>
      </c>
    </row>
    <row r="137" ht="22.7" customHeight="1" spans="2:10">
      <c r="B137" s="11">
        <v>42860</v>
      </c>
    </row>
    <row r="138" ht="17.55" spans="2:10">
      <c r="B138" s="12" t="s">
        <v>27</v>
      </c>
    </row>
    <row r="139" ht="22.5" customHeight="1" spans="2:10">
      <c r="B139" s="33" t="s">
        <v>3481</v>
      </c>
      <c r="C139" s="34" t="s">
        <v>3</v>
      </c>
      <c r="D139" s="34" t="s">
        <v>3482</v>
      </c>
      <c r="E139" s="35" t="s">
        <v>745</v>
      </c>
      <c r="F139" s="36" t="s">
        <v>3483</v>
      </c>
    </row>
    <row r="140" ht="22.5" customHeight="1" spans="2:10">
      <c r="B140" s="37">
        <v>1</v>
      </c>
      <c r="C140" s="5" t="s">
        <v>595</v>
      </c>
      <c r="D140" s="38" t="s">
        <v>3488</v>
      </c>
      <c r="E140" s="39">
        <v>42797</v>
      </c>
      <c r="F140" s="40"/>
    </row>
    <row r="141" ht="22.5" customHeight="1" spans="2:10">
      <c r="B141" s="17">
        <v>2</v>
      </c>
      <c r="C141" s="5" t="s">
        <v>596</v>
      </c>
      <c r="D141" s="5" t="s">
        <v>18</v>
      </c>
      <c r="E141" s="6">
        <v>42800</v>
      </c>
      <c r="F141" s="18"/>
    </row>
    <row r="142" ht="22.5" customHeight="1" spans="2:10">
      <c r="B142" s="17">
        <v>3</v>
      </c>
      <c r="C142" s="5" t="s">
        <v>599</v>
      </c>
      <c r="D142" s="5" t="s">
        <v>18</v>
      </c>
      <c r="E142" s="6">
        <v>42802</v>
      </c>
      <c r="F142" s="18"/>
    </row>
    <row r="143" ht="22.5" customHeight="1" spans="2:10">
      <c r="B143" s="17">
        <v>4</v>
      </c>
      <c r="C143" s="5" t="s">
        <v>600</v>
      </c>
      <c r="D143" s="5" t="s">
        <v>2960</v>
      </c>
      <c r="E143" s="6">
        <v>42802</v>
      </c>
      <c r="F143" s="18"/>
    </row>
    <row r="144" ht="22.5" customHeight="1" spans="2:10">
      <c r="B144" s="17">
        <v>5</v>
      </c>
      <c r="C144" s="5" t="s">
        <v>603</v>
      </c>
      <c r="D144" s="5" t="s">
        <v>18</v>
      </c>
      <c r="E144" s="6">
        <v>42807</v>
      </c>
      <c r="F144" s="18"/>
    </row>
    <row r="145" ht="22.5" customHeight="1" spans="2:12">
      <c r="B145" s="17">
        <v>6</v>
      </c>
      <c r="C145" s="5" t="s">
        <v>614</v>
      </c>
      <c r="D145" s="5" t="s">
        <v>18</v>
      </c>
      <c r="E145" s="6">
        <v>42814</v>
      </c>
      <c r="F145" s="18"/>
    </row>
    <row r="146" ht="22.5" customHeight="1" spans="2:12">
      <c r="B146" s="17">
        <v>7</v>
      </c>
      <c r="C146" s="5" t="s">
        <v>3097</v>
      </c>
      <c r="D146" s="5" t="s">
        <v>18</v>
      </c>
      <c r="E146" s="6">
        <v>42817</v>
      </c>
      <c r="F146" s="18"/>
    </row>
    <row r="147" ht="22.5" customHeight="1" spans="2:12">
      <c r="B147" s="17">
        <v>8</v>
      </c>
      <c r="C147" s="5" t="s">
        <v>621</v>
      </c>
      <c r="D147" s="5" t="s">
        <v>18</v>
      </c>
      <c r="E147" s="6">
        <v>42821</v>
      </c>
      <c r="F147" s="18"/>
    </row>
    <row r="148" ht="22.5" customHeight="1" spans="2:12">
      <c r="B148" s="17">
        <v>9</v>
      </c>
      <c r="C148" s="5" t="s">
        <v>625</v>
      </c>
      <c r="D148" s="5" t="s">
        <v>18</v>
      </c>
      <c r="E148" s="6">
        <v>42823</v>
      </c>
      <c r="F148" s="18"/>
    </row>
    <row r="149" ht="22.5" customHeight="1" spans="2:12">
      <c r="B149" s="17">
        <v>10</v>
      </c>
      <c r="C149" s="5" t="s">
        <v>628</v>
      </c>
      <c r="D149" s="5" t="s">
        <v>2979</v>
      </c>
      <c r="E149" s="6">
        <v>42824</v>
      </c>
      <c r="F149" s="18"/>
    </row>
    <row r="150" ht="22.5" customHeight="1" spans="2:12">
      <c r="B150" s="17">
        <v>11</v>
      </c>
      <c r="C150" s="5" t="s">
        <v>649</v>
      </c>
      <c r="D150" s="5" t="s">
        <v>18</v>
      </c>
      <c r="E150" s="6">
        <v>42835</v>
      </c>
      <c r="F150" s="18"/>
      <c r="H150" s="17">
        <v>9</v>
      </c>
      <c r="I150" s="5" t="s">
        <v>566</v>
      </c>
      <c r="J150" s="3"/>
      <c r="K150" s="6">
        <v>42774</v>
      </c>
      <c r="L150" s="18"/>
    </row>
    <row r="151" ht="22.5" customHeight="1" spans="2:12">
      <c r="B151" s="17">
        <v>12</v>
      </c>
      <c r="C151" s="5" t="s">
        <v>657</v>
      </c>
      <c r="D151" s="5" t="s">
        <v>18</v>
      </c>
      <c r="E151" s="6">
        <v>42836</v>
      </c>
      <c r="F151" s="18"/>
      <c r="H151" s="17">
        <v>12</v>
      </c>
      <c r="I151" s="5" t="s">
        <v>569</v>
      </c>
      <c r="J151" s="3"/>
      <c r="K151" s="6">
        <v>42775</v>
      </c>
      <c r="L151" s="18"/>
    </row>
    <row r="152" ht="22.5" customHeight="1" spans="2:12">
      <c r="B152" s="17">
        <v>13</v>
      </c>
      <c r="C152" s="5" t="s">
        <v>663</v>
      </c>
      <c r="D152" s="5" t="s">
        <v>18</v>
      </c>
      <c r="E152" s="6">
        <v>42838</v>
      </c>
      <c r="F152" s="18"/>
      <c r="H152" s="17">
        <v>15</v>
      </c>
      <c r="I152" s="5" t="s">
        <v>573</v>
      </c>
      <c r="J152" s="3"/>
      <c r="K152" s="6">
        <v>42782</v>
      </c>
      <c r="L152" s="18"/>
    </row>
    <row r="153" ht="22.5" customHeight="1" spans="2:12">
      <c r="B153" s="17">
        <v>14</v>
      </c>
      <c r="C153" s="5" t="s">
        <v>666</v>
      </c>
      <c r="D153" s="5" t="s">
        <v>18</v>
      </c>
      <c r="E153" s="6">
        <v>42842</v>
      </c>
      <c r="F153" s="18"/>
      <c r="I153" s="2" t="s">
        <v>582</v>
      </c>
    </row>
    <row r="154" ht="22.5" customHeight="1" spans="2:12">
      <c r="B154" s="17">
        <v>15</v>
      </c>
      <c r="C154" s="5" t="s">
        <v>667</v>
      </c>
      <c r="D154" s="5" t="s">
        <v>3489</v>
      </c>
      <c r="E154" s="6">
        <v>42842</v>
      </c>
      <c r="F154" s="18"/>
      <c r="H154" s="17">
        <v>13</v>
      </c>
      <c r="I154" s="5" t="s">
        <v>581</v>
      </c>
      <c r="J154" s="41" t="s">
        <v>3490</v>
      </c>
      <c r="K154" s="6">
        <v>42793</v>
      </c>
      <c r="L154" s="18"/>
    </row>
    <row r="155" ht="22.5" customHeight="1" spans="2:12">
      <c r="B155" s="17">
        <v>16</v>
      </c>
      <c r="C155" s="5" t="s">
        <v>545</v>
      </c>
      <c r="D155" s="5" t="s">
        <v>18</v>
      </c>
      <c r="E155" s="6">
        <v>42753</v>
      </c>
      <c r="F155" s="18"/>
      <c r="H155" s="17">
        <v>14</v>
      </c>
      <c r="I155" s="5" t="s">
        <v>583</v>
      </c>
      <c r="J155" s="41" t="s">
        <v>18</v>
      </c>
      <c r="K155" s="6">
        <v>42793</v>
      </c>
      <c r="L155" s="18"/>
    </row>
    <row r="156" ht="22.5" customHeight="1" spans="2:12">
      <c r="B156" s="17">
        <v>17</v>
      </c>
      <c r="C156" s="5" t="s">
        <v>3398</v>
      </c>
      <c r="D156" s="5" t="s">
        <v>3491</v>
      </c>
      <c r="E156" s="6">
        <v>42786</v>
      </c>
      <c r="F156" s="18"/>
      <c r="H156" s="17"/>
      <c r="I156" s="5"/>
      <c r="J156" s="41"/>
      <c r="K156" s="6"/>
      <c r="L156" s="18"/>
    </row>
    <row r="157" ht="22.5" customHeight="1" spans="2:12">
      <c r="B157" s="17">
        <v>18</v>
      </c>
      <c r="C157" s="5" t="s">
        <v>3441</v>
      </c>
      <c r="D157" s="5" t="s">
        <v>18</v>
      </c>
      <c r="E157" s="6">
        <v>42793</v>
      </c>
      <c r="F157" s="18"/>
      <c r="H157" s="17"/>
      <c r="I157" s="5"/>
      <c r="J157" s="41"/>
      <c r="K157" s="6"/>
      <c r="L157" s="18"/>
    </row>
    <row r="158" ht="22.5" customHeight="1" spans="2:12">
      <c r="H158" s="17">
        <v>8</v>
      </c>
      <c r="I158" s="5" t="s">
        <v>567</v>
      </c>
      <c r="J158" s="41" t="s">
        <v>3492</v>
      </c>
      <c r="K158" s="6">
        <v>42775</v>
      </c>
      <c r="L158" s="18"/>
    </row>
    <row r="159" ht="22.5" customHeight="1"/>
    <row r="160" ht="22.5" customHeight="1"/>
    <row r="161" ht="22.5" customHeight="1" spans="2:12">
      <c r="B161" s="10" t="s">
        <v>3479</v>
      </c>
    </row>
    <row r="162" ht="17.25" customHeight="1" spans="2:12">
      <c r="B162" s="11">
        <v>42852</v>
      </c>
    </row>
    <row r="163" ht="17.55" spans="2:12">
      <c r="B163" s="12" t="s">
        <v>3480</v>
      </c>
    </row>
    <row r="164" ht="22.5" customHeight="1" spans="2:12">
      <c r="B164" s="13" t="s">
        <v>3481</v>
      </c>
      <c r="C164" s="14" t="s">
        <v>3</v>
      </c>
      <c r="D164" s="14" t="s">
        <v>3482</v>
      </c>
      <c r="E164" s="15" t="s">
        <v>745</v>
      </c>
      <c r="F164" s="16" t="s">
        <v>3483</v>
      </c>
    </row>
    <row r="165" ht="22.5" customHeight="1" spans="2:12">
      <c r="B165" s="17">
        <v>1</v>
      </c>
      <c r="C165" s="5" t="s">
        <v>590</v>
      </c>
      <c r="D165" s="5" t="s">
        <v>3493</v>
      </c>
      <c r="E165" s="6">
        <v>42795</v>
      </c>
      <c r="F165" s="18"/>
    </row>
    <row r="166" ht="22.5" customHeight="1" spans="2:12">
      <c r="B166" s="17">
        <v>2</v>
      </c>
      <c r="C166" s="5" t="s">
        <v>601</v>
      </c>
      <c r="D166" s="5" t="s">
        <v>3494</v>
      </c>
      <c r="E166" s="6">
        <v>42804</v>
      </c>
      <c r="F166" s="18"/>
    </row>
    <row r="167" ht="22.5" customHeight="1" spans="2:12">
      <c r="B167" s="17">
        <v>3</v>
      </c>
      <c r="C167" s="5" t="s">
        <v>602</v>
      </c>
      <c r="D167" s="5" t="s">
        <v>2979</v>
      </c>
      <c r="E167" s="6">
        <v>42807</v>
      </c>
      <c r="F167" s="18"/>
    </row>
    <row r="168" ht="22.5" customHeight="1" spans="2:12">
      <c r="B168" s="17">
        <v>4</v>
      </c>
      <c r="C168" s="5" t="s">
        <v>604</v>
      </c>
      <c r="D168" s="5" t="s">
        <v>3495</v>
      </c>
      <c r="E168" s="6">
        <v>42807</v>
      </c>
      <c r="F168" s="18"/>
      <c r="I168" s="5" t="s">
        <v>545</v>
      </c>
      <c r="J168" s="3" t="s">
        <v>18</v>
      </c>
      <c r="K168" s="6">
        <v>42753</v>
      </c>
      <c r="L168" s="18"/>
    </row>
    <row r="169" ht="22.5" customHeight="1" spans="2:12">
      <c r="B169" s="17">
        <v>5</v>
      </c>
      <c r="C169" s="5" t="s">
        <v>605</v>
      </c>
      <c r="D169" s="5" t="s">
        <v>2979</v>
      </c>
      <c r="E169" s="6">
        <v>42807</v>
      </c>
      <c r="F169" s="18"/>
      <c r="I169" s="5" t="s">
        <v>3398</v>
      </c>
      <c r="J169" s="3" t="s">
        <v>3491</v>
      </c>
      <c r="K169" s="6">
        <v>42786</v>
      </c>
      <c r="L169" s="18"/>
    </row>
    <row r="170" ht="22.5" customHeight="1" spans="2:12">
      <c r="B170" s="17">
        <v>6</v>
      </c>
      <c r="C170" s="5" t="s">
        <v>606</v>
      </c>
      <c r="D170" s="5" t="s">
        <v>2960</v>
      </c>
      <c r="E170" s="6">
        <v>42808</v>
      </c>
      <c r="F170" s="18"/>
      <c r="I170" s="5" t="s">
        <v>3441</v>
      </c>
      <c r="J170" s="3" t="s">
        <v>18</v>
      </c>
      <c r="K170" s="6">
        <v>42793</v>
      </c>
      <c r="L170" s="18"/>
    </row>
    <row r="171" ht="22.5" customHeight="1" spans="2:12">
      <c r="B171" s="17">
        <v>7</v>
      </c>
      <c r="C171" s="5" t="s">
        <v>607</v>
      </c>
      <c r="D171" s="5" t="s">
        <v>3478</v>
      </c>
      <c r="E171" s="6">
        <v>42808</v>
      </c>
      <c r="F171" s="18"/>
    </row>
    <row r="172" ht="22.5" customHeight="1" spans="2:12">
      <c r="B172" s="17">
        <v>8</v>
      </c>
      <c r="C172" s="5" t="s">
        <v>610</v>
      </c>
      <c r="D172" s="5" t="s">
        <v>3478</v>
      </c>
      <c r="E172" s="6">
        <v>42810</v>
      </c>
      <c r="F172" s="18"/>
    </row>
    <row r="173" ht="22.5" customHeight="1" spans="2:12">
      <c r="B173" s="17">
        <v>9</v>
      </c>
      <c r="C173" s="5" t="s">
        <v>569</v>
      </c>
      <c r="D173" s="5" t="s">
        <v>3478</v>
      </c>
      <c r="E173" s="6">
        <v>42775</v>
      </c>
      <c r="F173" s="18"/>
    </row>
    <row r="174" ht="22.5" customHeight="1" spans="2:12">
      <c r="B174" s="17">
        <v>10</v>
      </c>
      <c r="C174" s="5" t="s">
        <v>582</v>
      </c>
      <c r="D174" s="5" t="s">
        <v>1566</v>
      </c>
      <c r="E174" s="6">
        <v>42793</v>
      </c>
      <c r="F174" s="18"/>
    </row>
    <row r="175" ht="22.5" customHeight="1" spans="2:12">
      <c r="B175" s="17">
        <v>11</v>
      </c>
      <c r="C175" s="5" t="s">
        <v>581</v>
      </c>
      <c r="D175" s="5" t="s">
        <v>3478</v>
      </c>
      <c r="E175" s="6">
        <v>42793</v>
      </c>
      <c r="F175" s="18"/>
    </row>
    <row r="176" ht="22.5" customHeight="1" spans="2:12">
      <c r="B176" s="17">
        <v>12</v>
      </c>
      <c r="C176" s="5" t="s">
        <v>583</v>
      </c>
      <c r="D176" s="5" t="s">
        <v>18</v>
      </c>
      <c r="E176" s="6">
        <v>42793</v>
      </c>
      <c r="F176" s="18"/>
    </row>
    <row r="177" ht="22.5" customHeight="1" spans="2:7">
      <c r="B177" s="17">
        <v>13</v>
      </c>
      <c r="C177" s="5" t="s">
        <v>568</v>
      </c>
      <c r="D177" s="5" t="s">
        <v>3496</v>
      </c>
      <c r="E177" s="6">
        <v>42775</v>
      </c>
      <c r="F177" s="18"/>
    </row>
    <row r="178" ht="22.5" customHeight="1" spans="2:7">
      <c r="B178" s="17">
        <v>14</v>
      </c>
      <c r="C178" s="5" t="s">
        <v>612</v>
      </c>
      <c r="D178" s="5" t="s">
        <v>3497</v>
      </c>
      <c r="E178" s="6">
        <v>42814</v>
      </c>
      <c r="F178" s="18"/>
    </row>
    <row r="179" ht="22.5" customHeight="1" spans="2:7">
      <c r="B179" s="17">
        <v>15</v>
      </c>
      <c r="C179" s="5" t="s">
        <v>613</v>
      </c>
      <c r="D179" s="5" t="s">
        <v>3478</v>
      </c>
      <c r="E179" s="6">
        <v>42814</v>
      </c>
      <c r="F179" s="42"/>
    </row>
    <row r="180" ht="22.5" customHeight="1" spans="2:7">
      <c r="B180" s="17">
        <v>16</v>
      </c>
      <c r="C180" s="5" t="s">
        <v>615</v>
      </c>
      <c r="D180" s="5" t="s">
        <v>86</v>
      </c>
      <c r="E180" s="6">
        <v>42815</v>
      </c>
      <c r="F180" s="42"/>
    </row>
    <row r="181" ht="22.5" customHeight="1" spans="2:7">
      <c r="B181" s="17">
        <v>17</v>
      </c>
      <c r="C181" s="5" t="s">
        <v>619</v>
      </c>
      <c r="D181" s="5" t="s">
        <v>18</v>
      </c>
      <c r="E181" s="6">
        <v>42816</v>
      </c>
      <c r="F181" s="42"/>
    </row>
    <row r="182" ht="22.5" customHeight="1" spans="2:7">
      <c r="B182" s="17">
        <v>18</v>
      </c>
      <c r="C182" s="5" t="s">
        <v>620</v>
      </c>
      <c r="D182" s="5" t="s">
        <v>18</v>
      </c>
      <c r="E182" s="6">
        <v>42816</v>
      </c>
      <c r="F182" s="42"/>
    </row>
    <row r="183" ht="22.5" customHeight="1" spans="2:7">
      <c r="B183" s="22">
        <v>19</v>
      </c>
      <c r="C183" s="23" t="s">
        <v>627</v>
      </c>
      <c r="D183" s="23" t="s">
        <v>3498</v>
      </c>
      <c r="E183" s="24">
        <v>42823</v>
      </c>
      <c r="F183" s="43"/>
    </row>
    <row r="184" ht="22.5" customHeight="1"/>
    <row r="185" ht="22.5" customHeight="1" spans="2:7">
      <c r="B185" s="10" t="s">
        <v>3479</v>
      </c>
    </row>
    <row r="186" ht="22.5" customHeight="1" spans="2:7">
      <c r="B186" s="11">
        <v>42808</v>
      </c>
    </row>
    <row r="187" ht="22.5" customHeight="1" spans="2:7">
      <c r="B187" s="12" t="s">
        <v>3480</v>
      </c>
    </row>
    <row r="188" spans="2:7">
      <c r="B188" s="13" t="s">
        <v>3481</v>
      </c>
      <c r="C188" s="14" t="s">
        <v>3</v>
      </c>
      <c r="D188" s="14" t="s">
        <v>3482</v>
      </c>
      <c r="E188" s="15" t="s">
        <v>745</v>
      </c>
      <c r="F188" s="16" t="s">
        <v>3483</v>
      </c>
    </row>
    <row r="189" ht="22.5" customHeight="1" spans="2:7">
      <c r="B189" s="17">
        <v>1</v>
      </c>
      <c r="C189" s="5" t="s">
        <v>553</v>
      </c>
      <c r="D189" s="5" t="s">
        <v>2832</v>
      </c>
      <c r="E189" s="6">
        <v>42772</v>
      </c>
      <c r="F189" s="18">
        <v>42808</v>
      </c>
    </row>
    <row r="190" ht="22.5" customHeight="1" spans="2:7">
      <c r="B190" s="17">
        <v>2</v>
      </c>
      <c r="C190" s="5" t="s">
        <v>554</v>
      </c>
      <c r="D190" s="5" t="s">
        <v>3041</v>
      </c>
      <c r="E190" s="6">
        <v>42772</v>
      </c>
      <c r="F190" s="18">
        <v>42808</v>
      </c>
    </row>
    <row r="191" ht="22.5" customHeight="1" spans="2:7">
      <c r="B191" s="17">
        <v>3</v>
      </c>
      <c r="C191" s="5" t="s">
        <v>555</v>
      </c>
      <c r="D191" s="5" t="s">
        <v>3499</v>
      </c>
      <c r="E191" s="6">
        <v>42772</v>
      </c>
      <c r="F191" s="18">
        <v>42808</v>
      </c>
      <c r="G191" s="16" t="s">
        <v>3483</v>
      </c>
    </row>
    <row r="192" s="1" customFormat="1" ht="22.5" customHeight="1" spans="2:7">
      <c r="B192" s="17">
        <v>4</v>
      </c>
      <c r="C192" s="5" t="s">
        <v>560</v>
      </c>
      <c r="D192" s="5" t="s">
        <v>3500</v>
      </c>
      <c r="E192" s="6">
        <v>42772</v>
      </c>
      <c r="F192" s="18">
        <v>42808</v>
      </c>
      <c r="G192" s="32">
        <v>42790</v>
      </c>
    </row>
    <row r="193" ht="22.5" customHeight="1" spans="2:7">
      <c r="B193" s="17">
        <v>5</v>
      </c>
      <c r="C193" s="5" t="s">
        <v>561</v>
      </c>
      <c r="D193" s="5" t="s">
        <v>3041</v>
      </c>
      <c r="E193" s="6">
        <v>42772</v>
      </c>
      <c r="F193" s="18">
        <v>42808</v>
      </c>
      <c r="G193" s="18"/>
    </row>
    <row r="194" ht="22.5" customHeight="1" spans="2:7">
      <c r="B194" s="17">
        <v>6</v>
      </c>
      <c r="C194" s="5" t="s">
        <v>563</v>
      </c>
      <c r="D194" s="5" t="s">
        <v>3041</v>
      </c>
      <c r="E194" s="6">
        <v>42772</v>
      </c>
      <c r="F194" s="18">
        <v>42808</v>
      </c>
      <c r="G194" s="18"/>
    </row>
    <row r="195" ht="22.5" customHeight="1" spans="2:7">
      <c r="B195" s="17">
        <v>7</v>
      </c>
      <c r="C195" s="5" t="s">
        <v>564</v>
      </c>
      <c r="D195" s="5" t="s">
        <v>3486</v>
      </c>
      <c r="E195" s="6">
        <v>42773</v>
      </c>
      <c r="F195" s="18">
        <v>42808</v>
      </c>
      <c r="G195" s="18"/>
    </row>
    <row r="196" ht="22.5" customHeight="1" spans="2:7">
      <c r="B196" s="17">
        <v>8</v>
      </c>
      <c r="C196" s="5" t="s">
        <v>568</v>
      </c>
      <c r="D196" s="5" t="s">
        <v>3496</v>
      </c>
      <c r="E196" s="6">
        <v>42775</v>
      </c>
      <c r="F196" s="18"/>
      <c r="G196" s="18"/>
    </row>
    <row r="197" ht="22.5" customHeight="1" spans="2:7">
      <c r="B197" s="17">
        <v>9</v>
      </c>
      <c r="C197" s="5" t="s">
        <v>571</v>
      </c>
      <c r="D197" s="5" t="s">
        <v>18</v>
      </c>
      <c r="E197" s="6">
        <v>42780</v>
      </c>
      <c r="F197" s="18">
        <v>42808</v>
      </c>
      <c r="G197" s="18"/>
    </row>
    <row r="198" ht="22.5" customHeight="1" spans="2:7">
      <c r="B198" s="17">
        <v>10</v>
      </c>
      <c r="C198" s="5" t="s">
        <v>572</v>
      </c>
      <c r="D198" s="5" t="s">
        <v>3478</v>
      </c>
      <c r="E198" s="6">
        <v>42782</v>
      </c>
      <c r="F198" s="18">
        <v>42808</v>
      </c>
      <c r="G198" s="18"/>
    </row>
    <row r="199" ht="22.5" customHeight="1" spans="2:7">
      <c r="B199" s="17">
        <v>11</v>
      </c>
      <c r="C199" s="5" t="s">
        <v>577</v>
      </c>
      <c r="D199" s="5" t="s">
        <v>3501</v>
      </c>
      <c r="E199" s="6">
        <v>42786</v>
      </c>
      <c r="F199" s="18">
        <v>42808</v>
      </c>
      <c r="G199" s="18"/>
    </row>
    <row r="200" ht="22.5" customHeight="1" spans="2:7">
      <c r="B200" s="17">
        <v>12</v>
      </c>
      <c r="C200" s="5" t="s">
        <v>584</v>
      </c>
      <c r="D200" s="5" t="s">
        <v>18</v>
      </c>
      <c r="E200" s="6">
        <v>42793</v>
      </c>
      <c r="F200" s="18">
        <v>42808</v>
      </c>
      <c r="G200" s="18"/>
    </row>
    <row r="201" ht="22.5" customHeight="1" spans="2:7">
      <c r="B201" s="17">
        <v>13</v>
      </c>
      <c r="C201" s="5" t="s">
        <v>3460</v>
      </c>
      <c r="D201" s="5" t="s">
        <v>3494</v>
      </c>
      <c r="E201" s="6">
        <v>42795</v>
      </c>
      <c r="F201" s="18">
        <v>42808</v>
      </c>
      <c r="G201" s="18"/>
    </row>
    <row r="202" ht="22.5" customHeight="1" spans="2:7">
      <c r="B202" s="17">
        <v>14</v>
      </c>
      <c r="C202" s="5" t="s">
        <v>523</v>
      </c>
      <c r="D202" s="5" t="s">
        <v>3497</v>
      </c>
      <c r="E202" s="6">
        <v>42730</v>
      </c>
      <c r="F202" s="18">
        <v>42808</v>
      </c>
      <c r="G202" s="18"/>
    </row>
    <row r="203" ht="22.5" customHeight="1" spans="2:7">
      <c r="B203" s="17">
        <v>15</v>
      </c>
      <c r="C203" s="5" t="s">
        <v>587</v>
      </c>
      <c r="D203" s="5" t="s">
        <v>3068</v>
      </c>
      <c r="E203" s="6">
        <v>42795</v>
      </c>
      <c r="F203" s="18">
        <v>42808</v>
      </c>
      <c r="G203" s="18"/>
    </row>
    <row r="204" ht="22.5" customHeight="1" spans="2:7">
      <c r="B204" s="17">
        <v>16</v>
      </c>
      <c r="C204" s="5" t="s">
        <v>588</v>
      </c>
      <c r="D204" s="5" t="s">
        <v>3502</v>
      </c>
      <c r="E204" s="6">
        <v>42795</v>
      </c>
      <c r="F204" s="18">
        <v>42808</v>
      </c>
      <c r="G204" s="18"/>
    </row>
    <row r="205" ht="22.5" customHeight="1" spans="2:7">
      <c r="B205" s="22">
        <v>17</v>
      </c>
      <c r="C205" s="23" t="s">
        <v>598</v>
      </c>
      <c r="D205" s="23" t="s">
        <v>3051</v>
      </c>
      <c r="E205" s="24">
        <v>42802</v>
      </c>
      <c r="F205" s="44">
        <v>42808</v>
      </c>
      <c r="G205" s="18"/>
    </row>
    <row r="206" ht="22.5" customHeight="1" spans="2:7">
      <c r="G206" s="18"/>
    </row>
    <row r="207" ht="22.5" customHeight="1" spans="2:7">
      <c r="G207" s="18"/>
    </row>
    <row r="208" ht="22.5" customHeight="1" spans="2:7">
      <c r="G208" s="18"/>
    </row>
    <row r="209" ht="22.5" customHeight="1" spans="2:7">
      <c r="G209" s="18"/>
    </row>
    <row r="210" ht="22.5" customHeight="1" spans="2:7">
      <c r="B210" s="10" t="s">
        <v>3479</v>
      </c>
      <c r="G210" s="18"/>
    </row>
    <row r="211" ht="22.5" customHeight="1" spans="2:7">
      <c r="B211" s="11">
        <v>42804</v>
      </c>
      <c r="G211" s="6"/>
    </row>
    <row r="212" ht="22.5" customHeight="1" spans="2:7">
      <c r="B212" s="12" t="s">
        <v>27</v>
      </c>
      <c r="G212" s="45"/>
    </row>
    <row r="213" spans="2:7">
      <c r="B213" s="13" t="s">
        <v>3481</v>
      </c>
      <c r="C213" s="14" t="s">
        <v>3</v>
      </c>
      <c r="D213" s="14" t="s">
        <v>3482</v>
      </c>
      <c r="E213" s="15" t="s">
        <v>745</v>
      </c>
      <c r="F213" s="16" t="s">
        <v>3483</v>
      </c>
    </row>
    <row r="214" spans="2:7">
      <c r="B214" s="17">
        <v>1</v>
      </c>
      <c r="C214" s="5" t="s">
        <v>542</v>
      </c>
      <c r="D214" s="3" t="s">
        <v>18</v>
      </c>
      <c r="E214" s="6">
        <v>42744</v>
      </c>
      <c r="F214" s="18">
        <v>42804</v>
      </c>
    </row>
    <row r="215" ht="17.55" spans="2:7">
      <c r="B215" s="17">
        <v>2</v>
      </c>
      <c r="C215" s="5" t="s">
        <v>2949</v>
      </c>
      <c r="D215" s="3" t="s">
        <v>18</v>
      </c>
      <c r="E215" s="6">
        <v>42747</v>
      </c>
      <c r="F215" s="18"/>
    </row>
    <row r="216" ht="22.5" customHeight="1" spans="2:7">
      <c r="B216" s="17">
        <v>3</v>
      </c>
      <c r="C216" s="5" t="s">
        <v>545</v>
      </c>
      <c r="D216" s="3" t="s">
        <v>18</v>
      </c>
      <c r="E216" s="6">
        <v>42753</v>
      </c>
      <c r="F216" s="18"/>
      <c r="G216" s="16" t="s">
        <v>3483</v>
      </c>
    </row>
    <row r="217" ht="22.5" customHeight="1" spans="2:7">
      <c r="B217" s="17">
        <v>4</v>
      </c>
      <c r="C217" s="5" t="s">
        <v>547</v>
      </c>
      <c r="D217" s="3" t="s">
        <v>18</v>
      </c>
      <c r="E217" s="6">
        <v>42755</v>
      </c>
      <c r="F217" s="18">
        <v>42804</v>
      </c>
      <c r="G217" s="18">
        <v>42790</v>
      </c>
    </row>
    <row r="218" ht="22.5" customHeight="1" spans="2:7">
      <c r="B218" s="17">
        <v>5</v>
      </c>
      <c r="C218" s="5" t="s">
        <v>548</v>
      </c>
      <c r="D218" s="3" t="s">
        <v>18</v>
      </c>
      <c r="E218" s="6">
        <v>42757</v>
      </c>
      <c r="F218" s="18">
        <v>42804</v>
      </c>
      <c r="G218" s="18">
        <v>42790</v>
      </c>
    </row>
    <row r="219" ht="22.5" customHeight="1" spans="2:7">
      <c r="B219" s="17">
        <v>6</v>
      </c>
      <c r="C219" s="5" t="s">
        <v>2831</v>
      </c>
      <c r="D219" s="3" t="s">
        <v>2832</v>
      </c>
      <c r="E219" s="6">
        <v>42779</v>
      </c>
      <c r="F219" s="18"/>
      <c r="G219" s="18">
        <v>42790</v>
      </c>
    </row>
    <row r="220" ht="22.5" customHeight="1" spans="2:7">
      <c r="B220" s="17">
        <v>7</v>
      </c>
      <c r="C220" s="5" t="s">
        <v>570</v>
      </c>
      <c r="D220" s="3" t="s">
        <v>18</v>
      </c>
      <c r="E220" s="6">
        <v>42779</v>
      </c>
      <c r="F220" s="18">
        <v>42804</v>
      </c>
      <c r="G220" s="32">
        <v>42790</v>
      </c>
    </row>
    <row r="221" ht="22.5" customHeight="1" spans="2:7">
      <c r="B221" s="17">
        <v>8</v>
      </c>
      <c r="C221" s="5" t="s">
        <v>574</v>
      </c>
      <c r="D221" s="3" t="s">
        <v>3492</v>
      </c>
      <c r="E221" s="6">
        <v>42783</v>
      </c>
      <c r="F221" s="18">
        <v>42804</v>
      </c>
      <c r="G221" s="18">
        <v>42790</v>
      </c>
    </row>
    <row r="222" ht="22.5" customHeight="1" spans="2:7">
      <c r="B222" s="17">
        <v>9</v>
      </c>
      <c r="C222" s="5" t="s">
        <v>3398</v>
      </c>
      <c r="D222" s="3" t="s">
        <v>3491</v>
      </c>
      <c r="E222" s="6">
        <v>42786</v>
      </c>
      <c r="F222" s="18"/>
      <c r="G222" s="18">
        <v>42790</v>
      </c>
    </row>
    <row r="223" ht="22.5" customHeight="1" spans="2:7">
      <c r="B223" s="17">
        <v>10</v>
      </c>
      <c r="C223" s="5" t="s">
        <v>575</v>
      </c>
      <c r="D223" s="3" t="s">
        <v>3492</v>
      </c>
      <c r="E223" s="6">
        <v>42786</v>
      </c>
      <c r="F223" s="18">
        <v>42804</v>
      </c>
      <c r="G223" s="18">
        <v>42790</v>
      </c>
    </row>
    <row r="224" ht="22.5" customHeight="1" spans="2:7">
      <c r="B224" s="17">
        <v>11</v>
      </c>
      <c r="C224" s="5" t="s">
        <v>576</v>
      </c>
      <c r="D224" s="3" t="s">
        <v>1566</v>
      </c>
      <c r="E224" s="6">
        <v>42786</v>
      </c>
      <c r="F224" s="18">
        <v>42804</v>
      </c>
      <c r="G224" s="18">
        <v>42790</v>
      </c>
    </row>
    <row r="225" ht="22.5" customHeight="1" spans="2:7">
      <c r="B225" s="17">
        <v>12</v>
      </c>
      <c r="C225" s="5" t="s">
        <v>580</v>
      </c>
      <c r="D225" s="3" t="s">
        <v>18</v>
      </c>
      <c r="E225" s="6">
        <v>42793</v>
      </c>
      <c r="F225" s="18">
        <v>42804</v>
      </c>
      <c r="G225" s="18">
        <v>42790</v>
      </c>
    </row>
    <row r="226" ht="22.5" customHeight="1" spans="2:7">
      <c r="B226" s="17">
        <v>13</v>
      </c>
      <c r="C226" s="5" t="s">
        <v>3441</v>
      </c>
      <c r="D226" s="3" t="s">
        <v>18</v>
      </c>
      <c r="E226" s="6">
        <v>42793</v>
      </c>
      <c r="F226" s="18"/>
      <c r="G226" s="18">
        <v>42790</v>
      </c>
    </row>
    <row r="227" ht="22.5" customHeight="1" spans="2:7">
      <c r="B227" s="17">
        <v>14</v>
      </c>
      <c r="C227" s="5" t="s">
        <v>585</v>
      </c>
      <c r="D227" s="3" t="s">
        <v>3503</v>
      </c>
      <c r="E227" s="6">
        <v>42795</v>
      </c>
      <c r="F227" s="18">
        <v>42804</v>
      </c>
      <c r="G227" s="18">
        <v>42790</v>
      </c>
    </row>
    <row r="228" ht="22.5" customHeight="1" spans="2:7">
      <c r="B228" s="17">
        <v>15</v>
      </c>
      <c r="C228" s="5" t="s">
        <v>3351</v>
      </c>
      <c r="D228" s="3" t="s">
        <v>1566</v>
      </c>
      <c r="E228" s="6">
        <v>42795</v>
      </c>
      <c r="F228" s="18">
        <v>42804</v>
      </c>
      <c r="G228" s="18">
        <v>42790</v>
      </c>
    </row>
    <row r="229" ht="22.5" customHeight="1" spans="2:7">
      <c r="B229" s="17">
        <v>16</v>
      </c>
      <c r="C229" s="5" t="s">
        <v>586</v>
      </c>
      <c r="D229" s="3" t="s">
        <v>18</v>
      </c>
      <c r="E229" s="6">
        <v>42795</v>
      </c>
      <c r="F229" s="18">
        <v>42804</v>
      </c>
      <c r="G229" s="18">
        <v>42790</v>
      </c>
    </row>
    <row r="230" ht="22.5" customHeight="1" spans="2:7">
      <c r="B230" s="17">
        <v>17</v>
      </c>
      <c r="C230" s="5" t="s">
        <v>592</v>
      </c>
      <c r="D230" s="3" t="s">
        <v>3490</v>
      </c>
      <c r="E230" s="6">
        <v>42796</v>
      </c>
      <c r="F230" s="18">
        <v>42804</v>
      </c>
      <c r="G230" s="18">
        <v>42790</v>
      </c>
    </row>
    <row r="231" ht="22.5" customHeight="1" spans="2:7">
      <c r="B231" s="17">
        <v>18</v>
      </c>
      <c r="C231" s="5" t="s">
        <v>593</v>
      </c>
      <c r="D231" s="3" t="s">
        <v>18</v>
      </c>
      <c r="E231" s="6">
        <v>42796</v>
      </c>
      <c r="F231" s="18">
        <v>42804</v>
      </c>
      <c r="G231" s="18">
        <v>42790</v>
      </c>
    </row>
    <row r="232" ht="22.5" customHeight="1" spans="2:7">
      <c r="B232" s="22">
        <v>19</v>
      </c>
      <c r="C232" s="23" t="s">
        <v>594</v>
      </c>
      <c r="D232" s="46" t="s">
        <v>18</v>
      </c>
      <c r="E232" s="24">
        <v>42796</v>
      </c>
      <c r="F232" s="18">
        <v>42804</v>
      </c>
      <c r="G232" s="18">
        <v>42790</v>
      </c>
    </row>
    <row r="233" ht="22.5" customHeight="1" spans="2:7">
      <c r="B233" s="47"/>
      <c r="C233" s="48"/>
      <c r="D233" s="47"/>
      <c r="E233" s="45"/>
      <c r="F233" s="45"/>
      <c r="G233" s="18">
        <v>42790</v>
      </c>
    </row>
    <row r="234" ht="22.5" customHeight="1" spans="2:7">
      <c r="B234" s="10" t="s">
        <v>3479</v>
      </c>
      <c r="G234" s="18"/>
    </row>
    <row r="235" ht="22.5" customHeight="1" spans="2:7">
      <c r="B235" s="11">
        <v>42804</v>
      </c>
      <c r="G235" s="18">
        <v>42790</v>
      </c>
    </row>
    <row r="236" ht="22.5" customHeight="1" spans="2:7">
      <c r="B236" s="12" t="s">
        <v>3480</v>
      </c>
      <c r="G236" s="18">
        <v>42790</v>
      </c>
    </row>
    <row r="237" spans="2:7">
      <c r="B237" s="13" t="s">
        <v>3481</v>
      </c>
      <c r="C237" s="14" t="s">
        <v>3</v>
      </c>
      <c r="D237" s="14" t="s">
        <v>3482</v>
      </c>
      <c r="E237" s="14" t="s">
        <v>3504</v>
      </c>
      <c r="F237" s="15" t="s">
        <v>745</v>
      </c>
    </row>
    <row r="238" spans="2:7">
      <c r="B238" s="17">
        <v>1</v>
      </c>
      <c r="C238" s="30" t="s">
        <v>523</v>
      </c>
      <c r="D238" s="41" t="s">
        <v>3505</v>
      </c>
      <c r="E238" s="31"/>
      <c r="F238" s="31">
        <v>42730</v>
      </c>
    </row>
    <row r="239" spans="2:7">
      <c r="B239" s="17">
        <v>2</v>
      </c>
      <c r="C239" s="5" t="s">
        <v>553</v>
      </c>
      <c r="D239" s="3" t="s">
        <v>2832</v>
      </c>
      <c r="E239" s="6"/>
      <c r="F239" s="6">
        <v>42772</v>
      </c>
    </row>
    <row r="240" spans="2:7">
      <c r="B240" s="17">
        <v>3</v>
      </c>
      <c r="C240" s="5" t="s">
        <v>554</v>
      </c>
      <c r="D240" s="3" t="s">
        <v>3506</v>
      </c>
      <c r="E240" s="6"/>
      <c r="F240" s="6">
        <v>42772</v>
      </c>
    </row>
    <row r="241" ht="17.55" spans="2:7">
      <c r="B241" s="17">
        <v>4</v>
      </c>
      <c r="C241" s="5" t="s">
        <v>555</v>
      </c>
      <c r="D241" s="3" t="s">
        <v>3507</v>
      </c>
      <c r="E241" s="6"/>
      <c r="F241" s="6">
        <v>42772</v>
      </c>
    </row>
    <row r="242" ht="22.5" customHeight="1" spans="2:7">
      <c r="B242" s="17">
        <v>5</v>
      </c>
      <c r="C242" s="5" t="s">
        <v>560</v>
      </c>
      <c r="D242" s="3" t="s">
        <v>3508</v>
      </c>
      <c r="E242" s="6"/>
      <c r="F242" s="6">
        <v>42772</v>
      </c>
      <c r="G242" s="16" t="s">
        <v>3483</v>
      </c>
    </row>
    <row r="243" ht="22.5" customHeight="1" spans="2:7">
      <c r="B243" s="17">
        <v>6</v>
      </c>
      <c r="C243" s="5" t="s">
        <v>561</v>
      </c>
      <c r="D243" s="3" t="s">
        <v>3506</v>
      </c>
      <c r="E243" s="6"/>
      <c r="F243" s="6">
        <v>42772</v>
      </c>
      <c r="G243" s="18">
        <v>42724</v>
      </c>
    </row>
    <row r="244" ht="22.5" customHeight="1" spans="2:7">
      <c r="B244" s="17">
        <v>7</v>
      </c>
      <c r="C244" s="5" t="s">
        <v>563</v>
      </c>
      <c r="D244" s="3" t="s">
        <v>3506</v>
      </c>
      <c r="E244" s="6"/>
      <c r="F244" s="6">
        <v>42772</v>
      </c>
      <c r="G244" s="18"/>
    </row>
    <row r="245" ht="22.5" customHeight="1" spans="2:7">
      <c r="B245" s="17">
        <v>8</v>
      </c>
      <c r="C245" s="5" t="s">
        <v>564</v>
      </c>
      <c r="D245" s="3" t="s">
        <v>3509</v>
      </c>
      <c r="E245" s="6"/>
      <c r="F245" s="6">
        <v>42773</v>
      </c>
      <c r="G245" s="18">
        <v>42724</v>
      </c>
    </row>
    <row r="246" ht="22.5" customHeight="1" spans="2:7">
      <c r="B246" s="17">
        <v>9</v>
      </c>
      <c r="C246" s="5" t="s">
        <v>566</v>
      </c>
      <c r="D246" s="3" t="s">
        <v>3510</v>
      </c>
      <c r="E246" s="6"/>
      <c r="F246" s="6">
        <v>42774</v>
      </c>
      <c r="G246" s="18">
        <v>42724</v>
      </c>
    </row>
    <row r="247" ht="22.5" customHeight="1" spans="2:7">
      <c r="B247" s="17">
        <v>10</v>
      </c>
      <c r="C247" s="5" t="s">
        <v>567</v>
      </c>
      <c r="D247" s="3" t="s">
        <v>3509</v>
      </c>
      <c r="E247" s="6"/>
      <c r="F247" s="6">
        <v>42775</v>
      </c>
      <c r="G247" s="18">
        <v>42724</v>
      </c>
    </row>
    <row r="248" ht="22.5" customHeight="1" spans="2:7">
      <c r="B248" s="17">
        <v>11</v>
      </c>
      <c r="C248" s="5" t="s">
        <v>568</v>
      </c>
      <c r="D248" s="3" t="s">
        <v>3511</v>
      </c>
      <c r="E248" s="6"/>
      <c r="F248" s="6">
        <v>42775</v>
      </c>
      <c r="G248" s="18">
        <v>42724</v>
      </c>
    </row>
    <row r="249" ht="22.5" customHeight="1" spans="2:7">
      <c r="B249" s="17">
        <v>12</v>
      </c>
      <c r="C249" s="5" t="s">
        <v>569</v>
      </c>
      <c r="D249" s="3" t="s">
        <v>3512</v>
      </c>
      <c r="E249" s="6"/>
      <c r="F249" s="6">
        <v>42775</v>
      </c>
      <c r="G249" s="18">
        <v>42724</v>
      </c>
    </row>
    <row r="250" ht="22.5" customHeight="1" spans="2:7">
      <c r="B250" s="17">
        <v>13</v>
      </c>
      <c r="C250" s="5" t="s">
        <v>571</v>
      </c>
      <c r="D250" s="3" t="s">
        <v>18</v>
      </c>
      <c r="E250" s="6">
        <v>42549</v>
      </c>
      <c r="F250" s="6">
        <v>42780</v>
      </c>
      <c r="G250" s="18">
        <v>42724</v>
      </c>
    </row>
    <row r="251" ht="22.5" customHeight="1" spans="2:7">
      <c r="B251" s="17">
        <v>14</v>
      </c>
      <c r="C251" s="5" t="s">
        <v>572</v>
      </c>
      <c r="D251" s="3" t="s">
        <v>3512</v>
      </c>
      <c r="E251" s="6">
        <v>42461</v>
      </c>
      <c r="F251" s="6">
        <v>42782</v>
      </c>
      <c r="G251" s="18">
        <v>42724</v>
      </c>
    </row>
    <row r="252" ht="22.5" customHeight="1" spans="2:7">
      <c r="B252" s="17">
        <v>15</v>
      </c>
      <c r="C252" s="5" t="s">
        <v>573</v>
      </c>
      <c r="D252" s="3" t="s">
        <v>3512</v>
      </c>
      <c r="E252" s="6">
        <v>42513</v>
      </c>
      <c r="F252" s="6">
        <v>42782</v>
      </c>
      <c r="G252" s="18">
        <v>42724</v>
      </c>
    </row>
    <row r="253" ht="22.5" customHeight="1" spans="2:7">
      <c r="B253" s="17">
        <v>16</v>
      </c>
      <c r="C253" s="5" t="s">
        <v>577</v>
      </c>
      <c r="D253" s="3" t="s">
        <v>3501</v>
      </c>
      <c r="E253" s="6">
        <v>42542</v>
      </c>
      <c r="F253" s="6">
        <v>42786</v>
      </c>
      <c r="G253" s="18"/>
    </row>
    <row r="254" ht="22.5" customHeight="1" spans="2:7">
      <c r="B254" s="17">
        <v>17</v>
      </c>
      <c r="C254" s="30" t="s">
        <v>581</v>
      </c>
      <c r="D254" s="3" t="s">
        <v>3512</v>
      </c>
      <c r="E254" s="6">
        <v>42611</v>
      </c>
      <c r="F254" s="6">
        <v>42793</v>
      </c>
      <c r="G254" s="18"/>
    </row>
    <row r="255" ht="22.5" customHeight="1" spans="2:7">
      <c r="B255" s="17">
        <v>18</v>
      </c>
      <c r="C255" s="30" t="s">
        <v>582</v>
      </c>
      <c r="D255" s="3" t="s">
        <v>1566</v>
      </c>
      <c r="E255" s="6"/>
      <c r="F255" s="6">
        <v>42793</v>
      </c>
      <c r="G255" s="18">
        <v>42724</v>
      </c>
    </row>
    <row r="256" ht="22.5" customHeight="1" spans="2:7">
      <c r="B256" s="17">
        <v>19</v>
      </c>
      <c r="C256" s="30" t="s">
        <v>583</v>
      </c>
      <c r="D256" s="3" t="s">
        <v>18</v>
      </c>
      <c r="E256" s="6">
        <v>42542</v>
      </c>
      <c r="F256" s="6">
        <v>42793</v>
      </c>
      <c r="G256" s="18">
        <v>42724</v>
      </c>
    </row>
    <row r="257" ht="22.5" customHeight="1" spans="2:7">
      <c r="B257" s="17">
        <v>20</v>
      </c>
      <c r="C257" s="30" t="s">
        <v>584</v>
      </c>
      <c r="D257" s="3" t="s">
        <v>18</v>
      </c>
      <c r="E257" s="6"/>
      <c r="F257" s="6">
        <v>42793</v>
      </c>
      <c r="G257" s="18">
        <v>42724</v>
      </c>
    </row>
    <row r="258" ht="22.5" customHeight="1" spans="2:7">
      <c r="B258" s="47"/>
      <c r="C258" s="48"/>
      <c r="D258" s="47"/>
      <c r="E258" s="45"/>
      <c r="F258" s="45"/>
      <c r="G258" s="18">
        <v>42724</v>
      </c>
    </row>
    <row r="259" ht="22.5" customHeight="1" spans="2:7">
      <c r="B259" s="10" t="s">
        <v>3479</v>
      </c>
      <c r="G259" s="18"/>
    </row>
    <row r="260" ht="22.5" customHeight="1" spans="2:7">
      <c r="B260" s="11">
        <v>42783</v>
      </c>
      <c r="G260" s="18">
        <v>42724</v>
      </c>
    </row>
    <row r="261" ht="22.5" customHeight="1" spans="2:7">
      <c r="B261" s="12" t="s">
        <v>3480</v>
      </c>
      <c r="G261" s="18">
        <v>42724</v>
      </c>
    </row>
    <row r="262" ht="22.5" customHeight="1" spans="2:7">
      <c r="B262" s="13" t="s">
        <v>3481</v>
      </c>
      <c r="C262" s="14" t="s">
        <v>3</v>
      </c>
      <c r="D262" s="14" t="s">
        <v>3482</v>
      </c>
      <c r="E262" s="14" t="s">
        <v>3504</v>
      </c>
      <c r="F262" s="15" t="s">
        <v>745</v>
      </c>
      <c r="G262" s="18">
        <v>42724</v>
      </c>
    </row>
    <row r="263" ht="22.5" customHeight="1" spans="2:7">
      <c r="B263" s="17">
        <v>1</v>
      </c>
      <c r="C263" s="5" t="s">
        <v>2978</v>
      </c>
      <c r="D263" s="3" t="s">
        <v>3513</v>
      </c>
      <c r="E263" s="6"/>
      <c r="F263" s="6">
        <v>42723</v>
      </c>
      <c r="G263" s="18"/>
    </row>
    <row r="264" ht="22.5" customHeight="1" spans="2:7">
      <c r="B264" s="17">
        <v>2</v>
      </c>
      <c r="C264" s="5" t="s">
        <v>2968</v>
      </c>
      <c r="D264" s="3" t="s">
        <v>3514</v>
      </c>
      <c r="E264" s="6"/>
      <c r="F264" s="6">
        <v>42723</v>
      </c>
      <c r="G264" s="42"/>
    </row>
    <row r="265" ht="22.5" customHeight="1" spans="2:7">
      <c r="B265" s="17">
        <v>3</v>
      </c>
      <c r="C265" s="5" t="s">
        <v>3405</v>
      </c>
      <c r="D265" s="3" t="s">
        <v>3515</v>
      </c>
      <c r="E265" s="6"/>
      <c r="F265" s="6">
        <v>42730</v>
      </c>
      <c r="G265" s="49"/>
    </row>
    <row r="266" ht="22.5" customHeight="1" spans="2:7">
      <c r="B266" s="29">
        <v>4</v>
      </c>
      <c r="C266" s="30" t="s">
        <v>523</v>
      </c>
      <c r="D266" s="41" t="s">
        <v>3505</v>
      </c>
      <c r="E266" s="31"/>
      <c r="F266" s="31">
        <v>42730</v>
      </c>
      <c r="G266" s="42"/>
    </row>
    <row r="267" ht="22.5" customHeight="1" spans="2:7">
      <c r="B267" s="17">
        <v>5</v>
      </c>
      <c r="C267" s="5" t="s">
        <v>525</v>
      </c>
      <c r="D267" s="3" t="s">
        <v>2857</v>
      </c>
      <c r="E267" s="6"/>
      <c r="F267" s="6">
        <v>42731</v>
      </c>
      <c r="G267" s="18">
        <v>42724</v>
      </c>
    </row>
    <row r="268" ht="22.5" customHeight="1" spans="2:7">
      <c r="B268" s="17">
        <v>6</v>
      </c>
      <c r="C268" s="5" t="s">
        <v>526</v>
      </c>
      <c r="D268" s="3" t="s">
        <v>3516</v>
      </c>
      <c r="E268" s="6"/>
      <c r="F268" s="6">
        <v>42731</v>
      </c>
      <c r="G268" s="50"/>
    </row>
    <row r="269" ht="22.5" customHeight="1" spans="2:7">
      <c r="B269" s="17">
        <v>7</v>
      </c>
      <c r="C269" s="5" t="s">
        <v>528</v>
      </c>
      <c r="D269" s="3" t="s">
        <v>3517</v>
      </c>
      <c r="E269" s="6"/>
      <c r="F269" s="6">
        <v>42738</v>
      </c>
    </row>
    <row r="270" ht="22.5" customHeight="1" spans="2:7">
      <c r="B270" s="17">
        <v>8</v>
      </c>
      <c r="C270" s="5" t="s">
        <v>529</v>
      </c>
      <c r="D270" s="3" t="s">
        <v>2350</v>
      </c>
      <c r="E270" s="6"/>
      <c r="F270" s="6">
        <v>42738</v>
      </c>
      <c r="G270" s="16" t="s">
        <v>3483</v>
      </c>
    </row>
    <row r="271" ht="22.5" customHeight="1" spans="2:7">
      <c r="B271" s="17">
        <v>9</v>
      </c>
      <c r="C271" s="5" t="s">
        <v>532</v>
      </c>
      <c r="D271" s="3" t="s">
        <v>2551</v>
      </c>
      <c r="E271" s="6"/>
      <c r="F271" s="6">
        <v>42739</v>
      </c>
      <c r="G271" s="18"/>
    </row>
    <row r="272" ht="22.5" customHeight="1" spans="2:7">
      <c r="B272" s="17">
        <v>10</v>
      </c>
      <c r="C272" s="5" t="s">
        <v>533</v>
      </c>
      <c r="D272" s="3" t="s">
        <v>3518</v>
      </c>
      <c r="E272" s="6"/>
      <c r="F272" s="6">
        <v>42738</v>
      </c>
      <c r="G272" s="18"/>
    </row>
    <row r="273" ht="22.5" customHeight="1" spans="2:8">
      <c r="B273" s="17">
        <v>11</v>
      </c>
      <c r="C273" s="5" t="s">
        <v>3032</v>
      </c>
      <c r="D273" s="3" t="s">
        <v>2755</v>
      </c>
      <c r="E273" s="6"/>
      <c r="F273" s="6">
        <v>42738</v>
      </c>
      <c r="G273" s="18"/>
    </row>
    <row r="274" ht="22.5" customHeight="1" spans="2:8">
      <c r="B274" s="17">
        <v>12</v>
      </c>
      <c r="C274" s="5" t="s">
        <v>538</v>
      </c>
      <c r="D274" s="3" t="s">
        <v>3513</v>
      </c>
      <c r="E274" s="6"/>
      <c r="F274" s="6">
        <v>42744</v>
      </c>
      <c r="G274" s="18"/>
    </row>
    <row r="275" ht="22.5" customHeight="1" spans="2:8">
      <c r="B275" s="17">
        <v>13</v>
      </c>
      <c r="C275" s="5" t="s">
        <v>539</v>
      </c>
      <c r="D275" s="3" t="s">
        <v>3519</v>
      </c>
      <c r="E275" s="6">
        <v>42549</v>
      </c>
      <c r="F275" s="6">
        <v>42744</v>
      </c>
      <c r="G275" s="18"/>
    </row>
    <row r="276" ht="22.5" customHeight="1" spans="2:8">
      <c r="B276" s="17">
        <v>14</v>
      </c>
      <c r="C276" s="5" t="s">
        <v>543</v>
      </c>
      <c r="D276" s="3" t="s">
        <v>3519</v>
      </c>
      <c r="E276" s="6">
        <v>42461</v>
      </c>
      <c r="F276" s="6">
        <v>42744</v>
      </c>
      <c r="G276" s="18"/>
    </row>
    <row r="277" ht="22.5" customHeight="1" spans="2:8">
      <c r="B277" s="17">
        <v>15</v>
      </c>
      <c r="C277" s="5" t="s">
        <v>544</v>
      </c>
      <c r="D277" s="3" t="s">
        <v>3520</v>
      </c>
      <c r="E277" s="6">
        <v>42513</v>
      </c>
      <c r="F277" s="6">
        <v>42747</v>
      </c>
      <c r="G277" s="18"/>
    </row>
    <row r="278" ht="22.5" customHeight="1" spans="2:8">
      <c r="B278" s="17">
        <v>16</v>
      </c>
      <c r="C278" s="5" t="s">
        <v>549</v>
      </c>
      <c r="D278" s="3" t="s">
        <v>2857</v>
      </c>
      <c r="E278" s="6">
        <v>42542</v>
      </c>
      <c r="F278" s="6">
        <v>42757</v>
      </c>
      <c r="G278" s="18"/>
    </row>
    <row r="279" ht="22.5" customHeight="1" spans="2:8">
      <c r="B279" s="17">
        <v>17</v>
      </c>
      <c r="C279" s="5" t="s">
        <v>550</v>
      </c>
      <c r="D279" s="3" t="s">
        <v>2551</v>
      </c>
      <c r="E279" s="6">
        <v>42611</v>
      </c>
      <c r="F279" s="6">
        <v>42758</v>
      </c>
      <c r="G279" s="18"/>
    </row>
    <row r="280" ht="22.5" customHeight="1" spans="2:8">
      <c r="B280" s="17">
        <v>18</v>
      </c>
      <c r="C280" s="5" t="s">
        <v>489</v>
      </c>
      <c r="D280" s="3" t="s">
        <v>2190</v>
      </c>
      <c r="E280" s="6"/>
      <c r="F280" s="6">
        <v>42657</v>
      </c>
      <c r="G280" s="18"/>
    </row>
    <row r="281" ht="22.5" customHeight="1" spans="2:8">
      <c r="B281" s="17">
        <v>19</v>
      </c>
      <c r="C281" s="5" t="s">
        <v>514</v>
      </c>
      <c r="D281" s="3" t="s">
        <v>2350</v>
      </c>
      <c r="E281" s="6">
        <v>42542</v>
      </c>
      <c r="F281" s="6">
        <v>42709</v>
      </c>
      <c r="G281" s="18"/>
    </row>
    <row r="282" ht="22.5" customHeight="1" spans="2:8">
      <c r="B282" s="17">
        <v>20</v>
      </c>
      <c r="C282" s="5" t="s">
        <v>557</v>
      </c>
      <c r="D282" s="3" t="s">
        <v>3521</v>
      </c>
      <c r="E282" s="6">
        <v>42542</v>
      </c>
      <c r="F282" s="6">
        <v>42772</v>
      </c>
      <c r="G282" s="18"/>
    </row>
    <row r="283" ht="22.5" customHeight="1" spans="2:8">
      <c r="G283" s="18"/>
    </row>
    <row r="284" ht="22.5" customHeight="1" spans="2:8">
      <c r="G284" s="18"/>
    </row>
    <row r="285" ht="22.5" customHeight="1" spans="2:8">
      <c r="B285" s="10" t="s">
        <v>3479</v>
      </c>
      <c r="G285" s="18"/>
    </row>
    <row r="286" ht="22.5" customHeight="1" spans="2:8">
      <c r="B286" s="11">
        <v>42724</v>
      </c>
      <c r="G286" s="18"/>
    </row>
    <row r="287" ht="22.5" customHeight="1" spans="2:8">
      <c r="B287" s="12" t="s">
        <v>3480</v>
      </c>
      <c r="G287" s="32"/>
    </row>
    <row r="288" ht="22.5" customHeight="1" spans="2:8">
      <c r="B288" s="13" t="s">
        <v>3481</v>
      </c>
      <c r="C288" s="14" t="s">
        <v>3</v>
      </c>
      <c r="D288" s="14" t="s">
        <v>3482</v>
      </c>
      <c r="E288" s="14" t="s">
        <v>3504</v>
      </c>
      <c r="F288" s="15" t="s">
        <v>745</v>
      </c>
      <c r="G288" s="32"/>
      <c r="H288" s="51" t="s">
        <v>3522</v>
      </c>
    </row>
    <row r="289" ht="22.5" customHeight="1" spans="2:13">
      <c r="B289" s="17">
        <v>1</v>
      </c>
      <c r="C289" s="5" t="s">
        <v>483</v>
      </c>
      <c r="D289" s="3" t="s">
        <v>3523</v>
      </c>
      <c r="E289" s="6"/>
      <c r="F289" s="6">
        <v>42651</v>
      </c>
      <c r="G289" s="32"/>
      <c r="H289" s="52"/>
    </row>
    <row r="290" ht="22.5" customHeight="1" spans="2:13">
      <c r="B290" s="17">
        <v>2</v>
      </c>
      <c r="C290" s="5" t="s">
        <v>489</v>
      </c>
      <c r="D290" s="3" t="s">
        <v>2190</v>
      </c>
      <c r="E290" s="6"/>
      <c r="F290" s="6">
        <v>42657</v>
      </c>
      <c r="G290" s="53"/>
      <c r="H290" s="52"/>
    </row>
    <row r="291" ht="22.5" customHeight="1" spans="2:13">
      <c r="B291" s="17">
        <v>3</v>
      </c>
      <c r="C291" s="5" t="s">
        <v>490</v>
      </c>
      <c r="D291" s="3" t="s">
        <v>3524</v>
      </c>
      <c r="E291" s="6"/>
      <c r="F291" s="6">
        <v>42660</v>
      </c>
      <c r="H291" s="52"/>
    </row>
    <row r="292" spans="2:13">
      <c r="B292" s="17">
        <v>4</v>
      </c>
      <c r="C292" s="5" t="s">
        <v>491</v>
      </c>
      <c r="D292" s="3" t="s">
        <v>1272</v>
      </c>
      <c r="E292" s="6"/>
      <c r="F292" s="6">
        <v>42660</v>
      </c>
    </row>
    <row r="293" spans="2:13">
      <c r="B293" s="17">
        <v>5</v>
      </c>
      <c r="C293" s="5" t="s">
        <v>3416</v>
      </c>
      <c r="D293" s="3" t="s">
        <v>3525</v>
      </c>
      <c r="E293" s="6"/>
      <c r="F293" s="6">
        <v>42660</v>
      </c>
    </row>
    <row r="294" spans="2:13">
      <c r="B294" s="17">
        <v>6</v>
      </c>
      <c r="C294" s="5" t="s">
        <v>494</v>
      </c>
      <c r="D294" s="3" t="s">
        <v>1856</v>
      </c>
      <c r="E294" s="6"/>
      <c r="F294" s="6">
        <v>42661</v>
      </c>
    </row>
    <row r="295" ht="23.25" customHeight="1" spans="2:13">
      <c r="B295" s="17">
        <v>7</v>
      </c>
      <c r="C295" s="5" t="s">
        <v>495</v>
      </c>
      <c r="D295" s="3" t="s">
        <v>2744</v>
      </c>
      <c r="E295" s="6"/>
      <c r="F295" s="6">
        <v>42667</v>
      </c>
    </row>
    <row r="296" ht="22.5" customHeight="1" spans="2:13">
      <c r="B296" s="17">
        <v>8</v>
      </c>
      <c r="C296" s="5" t="s">
        <v>497</v>
      </c>
      <c r="D296" s="3" t="s">
        <v>3526</v>
      </c>
      <c r="E296" s="6"/>
      <c r="F296" s="6">
        <v>42671</v>
      </c>
    </row>
    <row r="297" ht="22.5" customHeight="1" spans="2:13">
      <c r="B297" s="17">
        <v>9</v>
      </c>
      <c r="C297" s="5" t="s">
        <v>504</v>
      </c>
      <c r="D297" s="3" t="s">
        <v>3527</v>
      </c>
      <c r="E297" s="6"/>
      <c r="F297" s="6">
        <v>42684</v>
      </c>
      <c r="G297" s="16" t="s">
        <v>3483</v>
      </c>
    </row>
    <row r="298" ht="22.5" customHeight="1" spans="2:13">
      <c r="B298" s="17">
        <v>10</v>
      </c>
      <c r="C298" s="5" t="s">
        <v>2787</v>
      </c>
      <c r="D298" s="3" t="s">
        <v>3526</v>
      </c>
      <c r="E298" s="6"/>
      <c r="F298" s="6">
        <v>42685</v>
      </c>
      <c r="G298" s="18">
        <v>42664</v>
      </c>
      <c r="I298" s="54" t="s">
        <v>3528</v>
      </c>
      <c r="J298" s="55" t="s">
        <v>3529</v>
      </c>
      <c r="K298" s="55" t="s">
        <v>3530</v>
      </c>
    </row>
    <row r="299" ht="22.5" customHeight="1" spans="2:13">
      <c r="B299" s="17">
        <v>11</v>
      </c>
      <c r="C299" s="5" t="s">
        <v>506</v>
      </c>
      <c r="D299" s="3" t="s">
        <v>3531</v>
      </c>
      <c r="E299" s="6"/>
      <c r="F299" s="6">
        <v>42688</v>
      </c>
      <c r="G299" s="284" t="s">
        <v>3532</v>
      </c>
      <c r="I299" s="56" t="s">
        <v>3533</v>
      </c>
      <c r="J299" s="56"/>
      <c r="K299" s="56"/>
    </row>
    <row r="300" ht="22.5" customHeight="1" spans="2:13">
      <c r="B300" s="17">
        <v>12</v>
      </c>
      <c r="C300" s="5" t="s">
        <v>507</v>
      </c>
      <c r="D300" s="3" t="s">
        <v>3531</v>
      </c>
      <c r="E300" s="6"/>
      <c r="F300" s="6">
        <v>42688</v>
      </c>
      <c r="G300" s="18">
        <v>42664</v>
      </c>
      <c r="I300" s="56" t="s">
        <v>3534</v>
      </c>
      <c r="J300" s="56"/>
      <c r="K300" s="56"/>
    </row>
    <row r="301" ht="22.5" customHeight="1" spans="2:13">
      <c r="B301" s="17">
        <v>13</v>
      </c>
      <c r="C301" s="5" t="s">
        <v>508</v>
      </c>
      <c r="D301" s="3" t="s">
        <v>2077</v>
      </c>
      <c r="E301" s="6"/>
      <c r="F301" s="6">
        <v>42695</v>
      </c>
      <c r="G301" s="18">
        <v>42664</v>
      </c>
      <c r="I301" s="56" t="s">
        <v>3535</v>
      </c>
      <c r="J301" s="56"/>
      <c r="K301" s="56"/>
    </row>
    <row r="302" ht="22.5" customHeight="1" spans="2:13">
      <c r="B302" s="17">
        <v>14</v>
      </c>
      <c r="C302" s="5" t="s">
        <v>509</v>
      </c>
      <c r="D302" s="3" t="s">
        <v>3536</v>
      </c>
      <c r="E302" s="6">
        <v>42549</v>
      </c>
      <c r="F302" s="6">
        <v>42695</v>
      </c>
      <c r="G302" s="18">
        <v>42664</v>
      </c>
      <c r="I302" s="56" t="s">
        <v>3537</v>
      </c>
      <c r="J302" s="56"/>
      <c r="K302" s="56"/>
      <c r="M302" s="57"/>
    </row>
    <row r="303" ht="22.5" customHeight="1" spans="2:13">
      <c r="B303" s="17">
        <v>15</v>
      </c>
      <c r="C303" s="5" t="s">
        <v>511</v>
      </c>
      <c r="D303" s="3" t="s">
        <v>3524</v>
      </c>
      <c r="E303" s="6">
        <v>42461</v>
      </c>
      <c r="F303" s="6">
        <v>42702</v>
      </c>
      <c r="G303" s="18">
        <v>42664</v>
      </c>
      <c r="I303" s="56" t="s">
        <v>3538</v>
      </c>
      <c r="J303" s="56"/>
      <c r="K303" s="56"/>
    </row>
    <row r="304" ht="22.5" customHeight="1" spans="2:13">
      <c r="B304" s="17">
        <v>16</v>
      </c>
      <c r="C304" s="5" t="s">
        <v>512</v>
      </c>
      <c r="D304" s="3" t="s">
        <v>2350</v>
      </c>
      <c r="E304" s="6">
        <v>42513</v>
      </c>
      <c r="F304" s="6">
        <v>42705</v>
      </c>
      <c r="G304" s="18">
        <v>42664</v>
      </c>
    </row>
    <row r="305" ht="22.5" customHeight="1" spans="2:13">
      <c r="B305" s="17">
        <v>17</v>
      </c>
      <c r="C305" s="5" t="s">
        <v>514</v>
      </c>
      <c r="D305" s="3" t="s">
        <v>2350</v>
      </c>
      <c r="E305" s="6">
        <v>42542</v>
      </c>
      <c r="F305" s="6">
        <v>42709</v>
      </c>
      <c r="G305" s="18">
        <v>42664</v>
      </c>
      <c r="I305" s="57" t="s">
        <v>3539</v>
      </c>
      <c r="M305" s="57" t="s">
        <v>3540</v>
      </c>
    </row>
    <row r="306" ht="22.5" customHeight="1" spans="2:13">
      <c r="B306" s="17">
        <v>18</v>
      </c>
      <c r="C306" s="5" t="s">
        <v>519</v>
      </c>
      <c r="D306" s="3" t="s">
        <v>2350</v>
      </c>
      <c r="E306" s="6">
        <v>42611</v>
      </c>
      <c r="F306" s="6">
        <v>42716</v>
      </c>
      <c r="G306" s="58">
        <v>42664</v>
      </c>
      <c r="I306" s="2" t="s">
        <v>3541</v>
      </c>
      <c r="M306" s="2" t="s">
        <v>3542</v>
      </c>
    </row>
    <row r="307" ht="22.5" customHeight="1" spans="2:13">
      <c r="B307" s="17">
        <v>19</v>
      </c>
      <c r="C307" s="5" t="s">
        <v>3449</v>
      </c>
      <c r="D307" s="3" t="s">
        <v>3543</v>
      </c>
      <c r="E307" s="6"/>
      <c r="F307" s="6">
        <v>42716</v>
      </c>
      <c r="G307" s="285" t="s">
        <v>3532</v>
      </c>
      <c r="I307" s="2" t="s">
        <v>3544</v>
      </c>
      <c r="M307" s="2" t="s">
        <v>3545</v>
      </c>
    </row>
    <row r="308" ht="22.5" customHeight="1" spans="2:13">
      <c r="B308" s="17">
        <v>20</v>
      </c>
      <c r="C308" s="5" t="s">
        <v>521</v>
      </c>
      <c r="D308" s="3" t="s">
        <v>2560</v>
      </c>
      <c r="E308" s="6"/>
      <c r="F308" s="6">
        <v>42717</v>
      </c>
      <c r="G308" s="58">
        <v>42664</v>
      </c>
      <c r="I308" s="2" t="s">
        <v>3546</v>
      </c>
      <c r="M308" s="2" t="s">
        <v>3547</v>
      </c>
    </row>
    <row r="309" ht="22.5" customHeight="1" spans="2:13">
      <c r="B309" s="17">
        <v>21</v>
      </c>
      <c r="C309" s="59" t="s">
        <v>473</v>
      </c>
      <c r="D309" s="3" t="e">
        <f>VLOOKUP($C309,'[2]INCUMBENT '!$B$2:$I$600,4,0)</f>
        <v>#N/A</v>
      </c>
      <c r="E309" s="3" t="e">
        <f>VLOOKUP($C309,'[2]INCUMBENT '!$B$2:$I$600,4,0)</f>
        <v>#N/A</v>
      </c>
      <c r="F309" s="6" t="e">
        <f>VLOOKUP($C309,'[2]INCUMBENT '!$B$2:$I$600,8,0)</f>
        <v>#N/A</v>
      </c>
      <c r="G309" s="285" t="s">
        <v>3532</v>
      </c>
      <c r="I309" s="2" t="s">
        <v>3548</v>
      </c>
      <c r="M309" s="2" t="s">
        <v>3549</v>
      </c>
    </row>
    <row r="310" ht="22.5" customHeight="1" spans="2:13">
      <c r="B310" s="17">
        <v>22</v>
      </c>
      <c r="C310" s="5" t="s">
        <v>475</v>
      </c>
      <c r="D310" s="3" t="e">
        <f>VLOOKUP($C310,'[2]INCUMBENT '!$B$2:$I$600,4,0)</f>
        <v>#N/A</v>
      </c>
      <c r="E310" s="3" t="e">
        <f>VLOOKUP($C310,'[2]INCUMBENT '!$B$2:$I$600,4,0)</f>
        <v>#N/A</v>
      </c>
      <c r="F310" s="6" t="e">
        <f>VLOOKUP($C310,'[2]INCUMBENT '!$B$2:$I$600,8,0)</f>
        <v>#N/A</v>
      </c>
      <c r="G310" s="58">
        <v>42664</v>
      </c>
      <c r="I310" s="2" t="s">
        <v>3550</v>
      </c>
      <c r="M310" s="2" t="s">
        <v>3551</v>
      </c>
    </row>
    <row r="311" ht="22.5" customHeight="1" spans="2:13">
      <c r="B311" s="17">
        <v>23</v>
      </c>
      <c r="C311" s="60" t="s">
        <v>3329</v>
      </c>
      <c r="D311" s="61" t="e">
        <f>VLOOKUP($C311,'[2]INCUMBENT '!$B$2:$I$600,4,0)</f>
        <v>#N/A</v>
      </c>
      <c r="E311" s="61" t="e">
        <f>VLOOKUP($C311,'[2]INCUMBENT '!$B$2:$I$600,4,0)</f>
        <v>#N/A</v>
      </c>
      <c r="F311" s="62" t="e">
        <f>VLOOKUP($C311,'[2]INCUMBENT '!$B$2:$I$600,8,0)</f>
        <v>#N/A</v>
      </c>
      <c r="G311" s="285" t="s">
        <v>3532</v>
      </c>
    </row>
    <row r="312" ht="22.5" customHeight="1" spans="2:13">
      <c r="B312" s="17">
        <v>24</v>
      </c>
      <c r="C312" s="5" t="s">
        <v>439</v>
      </c>
      <c r="D312" s="3" t="s">
        <v>1272</v>
      </c>
      <c r="E312" s="3"/>
      <c r="F312" s="6">
        <v>42569</v>
      </c>
      <c r="G312" s="58">
        <v>42664</v>
      </c>
      <c r="I312" s="57" t="s">
        <v>3552</v>
      </c>
    </row>
    <row r="313" ht="22.5" customHeight="1" spans="2:13">
      <c r="B313" s="22">
        <v>25</v>
      </c>
      <c r="C313" s="23" t="s">
        <v>2903</v>
      </c>
      <c r="D313" s="63" t="s">
        <v>3524</v>
      </c>
      <c r="E313" s="64"/>
      <c r="F313" s="24">
        <v>42717</v>
      </c>
      <c r="G313" s="58"/>
      <c r="I313" s="2" t="s">
        <v>3553</v>
      </c>
    </row>
    <row r="314" ht="22.5" customHeight="1" spans="2:13">
      <c r="B314" s="50"/>
      <c r="C314" s="50"/>
      <c r="D314" s="50"/>
      <c r="E314" s="50"/>
      <c r="F314" s="50"/>
      <c r="G314" s="58"/>
      <c r="I314" s="2" t="s">
        <v>3554</v>
      </c>
    </row>
    <row r="315" ht="22.5" customHeight="1" spans="2:13">
      <c r="B315" s="2" t="s">
        <v>27</v>
      </c>
      <c r="G315" s="44"/>
    </row>
    <row r="316" ht="22.5" customHeight="1" spans="2:13">
      <c r="B316" s="13" t="s">
        <v>3481</v>
      </c>
      <c r="C316" s="14" t="s">
        <v>3</v>
      </c>
      <c r="D316" s="14" t="s">
        <v>3482</v>
      </c>
      <c r="E316" s="14" t="s">
        <v>3504</v>
      </c>
      <c r="F316" s="15" t="s">
        <v>745</v>
      </c>
      <c r="I316" s="56"/>
      <c r="J316" s="56"/>
      <c r="K316" s="56"/>
    </row>
    <row r="317" ht="19.5" customHeight="1" spans="2:13">
      <c r="B317" s="17">
        <v>1</v>
      </c>
      <c r="C317" s="5" t="s">
        <v>496</v>
      </c>
      <c r="D317" s="3" t="s">
        <v>2551</v>
      </c>
      <c r="E317" s="6"/>
      <c r="F317" s="6">
        <v>42668</v>
      </c>
    </row>
    <row r="318" ht="19.5" customHeight="1" spans="2:13">
      <c r="B318" s="17">
        <v>2</v>
      </c>
      <c r="C318" s="5" t="s">
        <v>672</v>
      </c>
      <c r="D318" s="3" t="s">
        <v>1169</v>
      </c>
      <c r="E318" s="6"/>
      <c r="F318" s="6">
        <v>42674</v>
      </c>
    </row>
    <row r="319" ht="19.5" customHeight="1" spans="2:13">
      <c r="B319" s="17">
        <v>3</v>
      </c>
      <c r="C319" s="5" t="s">
        <v>501</v>
      </c>
      <c r="D319" s="3" t="s">
        <v>2551</v>
      </c>
      <c r="E319" s="6"/>
      <c r="F319" s="6">
        <v>42674</v>
      </c>
    </row>
    <row r="320" ht="33.75" customHeight="1" spans="2:13">
      <c r="B320" s="17">
        <v>4</v>
      </c>
      <c r="C320" s="5" t="s">
        <v>502</v>
      </c>
      <c r="D320" s="3" t="s">
        <v>2551</v>
      </c>
      <c r="E320" s="6"/>
      <c r="F320" s="6">
        <v>42675</v>
      </c>
    </row>
    <row r="321" ht="17.55" spans="2:7">
      <c r="B321" s="17">
        <v>5</v>
      </c>
      <c r="C321" s="5" t="s">
        <v>2740</v>
      </c>
      <c r="D321" s="3" t="s">
        <v>2350</v>
      </c>
      <c r="E321" s="6"/>
      <c r="F321" s="6">
        <v>42681</v>
      </c>
    </row>
    <row r="322" spans="2:7">
      <c r="B322" s="17">
        <v>6</v>
      </c>
      <c r="C322" s="5" t="s">
        <v>503</v>
      </c>
      <c r="D322" s="3" t="s">
        <v>2551</v>
      </c>
      <c r="E322" s="6"/>
      <c r="F322" s="6">
        <v>42683</v>
      </c>
      <c r="G322" s="16" t="s">
        <v>3483</v>
      </c>
    </row>
    <row r="323" ht="21.75" customHeight="1" spans="2:7">
      <c r="B323" s="17">
        <v>7</v>
      </c>
      <c r="C323" s="5" t="s">
        <v>2731</v>
      </c>
      <c r="D323" s="3" t="s">
        <v>2350</v>
      </c>
      <c r="E323" s="6"/>
      <c r="F323" s="6">
        <v>42689</v>
      </c>
      <c r="G323" s="18"/>
    </row>
    <row r="324" ht="21.75" customHeight="1" spans="2:7">
      <c r="B324" s="17">
        <v>8</v>
      </c>
      <c r="C324" s="5" t="s">
        <v>510</v>
      </c>
      <c r="D324" s="3" t="s">
        <v>3536</v>
      </c>
      <c r="E324" s="6"/>
      <c r="F324" s="6">
        <v>42696</v>
      </c>
      <c r="G324" s="18">
        <v>42670</v>
      </c>
    </row>
    <row r="325" ht="21.75" customHeight="1" spans="2:7">
      <c r="B325" s="17">
        <v>9</v>
      </c>
      <c r="C325" s="5" t="s">
        <v>3067</v>
      </c>
      <c r="D325" s="3" t="s">
        <v>1856</v>
      </c>
      <c r="E325" s="6"/>
      <c r="F325" s="6">
        <v>42696</v>
      </c>
      <c r="G325" s="18">
        <v>42670</v>
      </c>
    </row>
    <row r="326" ht="21.75" customHeight="1" spans="2:7">
      <c r="B326" s="17">
        <v>10</v>
      </c>
      <c r="C326" s="5" t="s">
        <v>515</v>
      </c>
      <c r="D326" s="3" t="s">
        <v>2551</v>
      </c>
      <c r="E326" s="6"/>
      <c r="F326" s="6">
        <v>42709</v>
      </c>
      <c r="G326" s="18">
        <v>42670</v>
      </c>
    </row>
    <row r="327" ht="21.75" customHeight="1" spans="2:7">
      <c r="B327" s="17">
        <v>11</v>
      </c>
      <c r="C327" s="5" t="s">
        <v>2930</v>
      </c>
      <c r="D327" s="3" t="s">
        <v>2684</v>
      </c>
      <c r="E327" s="6"/>
      <c r="F327" s="6">
        <v>42709</v>
      </c>
      <c r="G327" s="18">
        <v>42670</v>
      </c>
    </row>
    <row r="328" ht="21.75" customHeight="1" spans="2:7">
      <c r="B328" s="17">
        <v>12</v>
      </c>
      <c r="C328" s="5" t="s">
        <v>518</v>
      </c>
      <c r="D328" s="3" t="s">
        <v>3555</v>
      </c>
      <c r="E328" s="6"/>
      <c r="F328" s="6">
        <v>42710</v>
      </c>
      <c r="G328" s="18">
        <v>42670</v>
      </c>
    </row>
    <row r="329" ht="21.75" customHeight="1" spans="2:7">
      <c r="B329" s="17">
        <v>13</v>
      </c>
      <c r="C329" s="5" t="s">
        <v>520</v>
      </c>
      <c r="D329" s="3" t="s">
        <v>2551</v>
      </c>
      <c r="E329" s="6"/>
      <c r="F329" s="6">
        <v>42716</v>
      </c>
      <c r="G329" s="18">
        <v>42670</v>
      </c>
    </row>
    <row r="330" ht="21.75" customHeight="1" spans="2:7">
      <c r="B330" s="17">
        <v>14</v>
      </c>
      <c r="C330" s="5" t="s">
        <v>531</v>
      </c>
      <c r="D330" s="3" t="s">
        <v>2551</v>
      </c>
      <c r="E330" s="6"/>
      <c r="F330" s="6">
        <v>42738</v>
      </c>
      <c r="G330" s="18">
        <v>42670</v>
      </c>
    </row>
    <row r="331" ht="21.75" customHeight="1" spans="2:7">
      <c r="B331" s="17">
        <v>15</v>
      </c>
      <c r="C331" s="5" t="s">
        <v>537</v>
      </c>
      <c r="D331" s="3" t="s">
        <v>2551</v>
      </c>
      <c r="E331" s="6"/>
      <c r="F331" s="6">
        <v>42738</v>
      </c>
      <c r="G331" s="18">
        <v>42670</v>
      </c>
    </row>
    <row r="332" ht="21.75" customHeight="1" spans="2:7">
      <c r="B332" s="17">
        <v>16</v>
      </c>
      <c r="C332" s="5" t="s">
        <v>411</v>
      </c>
      <c r="D332" s="3" t="s">
        <v>1938</v>
      </c>
      <c r="E332" s="6">
        <v>42549</v>
      </c>
      <c r="F332" s="6" t="e">
        <f>VLOOKUP($C332,'[2]INCUMBENT '!$B$2:$I$500,8,0)</f>
        <v>#N/A</v>
      </c>
      <c r="G332" s="18">
        <v>42670</v>
      </c>
    </row>
    <row r="333" ht="21.75" customHeight="1" spans="2:7">
      <c r="B333" s="17">
        <v>17</v>
      </c>
      <c r="C333" s="30" t="s">
        <v>334</v>
      </c>
      <c r="D333" s="41" t="s">
        <v>1431</v>
      </c>
      <c r="E333" s="31">
        <v>42461</v>
      </c>
      <c r="F333" s="31" t="e">
        <f>VLOOKUP($C333,'[2]INCUMBENT '!$B$2:$I$500,8,0)</f>
        <v>#N/A</v>
      </c>
      <c r="G333" s="18">
        <v>42670</v>
      </c>
    </row>
    <row r="334" ht="21.75" customHeight="1" spans="2:7">
      <c r="B334" s="17">
        <v>18</v>
      </c>
      <c r="C334" s="30" t="s">
        <v>376</v>
      </c>
      <c r="D334" s="41" t="s">
        <v>1954</v>
      </c>
      <c r="E334" s="31">
        <v>42513</v>
      </c>
      <c r="F334" s="31" t="e">
        <f>VLOOKUP($C334,'[2]INCUMBENT '!$B$2:$I$500,8,0)</f>
        <v>#N/A</v>
      </c>
      <c r="G334" s="18">
        <v>42670</v>
      </c>
    </row>
    <row r="335" ht="21.75" customHeight="1" spans="2:7">
      <c r="B335" s="17">
        <v>19</v>
      </c>
      <c r="C335" s="30" t="s">
        <v>405</v>
      </c>
      <c r="D335" s="41" t="s">
        <v>1062</v>
      </c>
      <c r="E335" s="31">
        <v>42542</v>
      </c>
      <c r="F335" s="31" t="e">
        <f>VLOOKUP($C335,'[2]INCUMBENT '!$B$2:$I$500,8,0)</f>
        <v>#N/A</v>
      </c>
      <c r="G335" s="18">
        <v>42670</v>
      </c>
    </row>
    <row r="336" ht="21.75" customHeight="1" spans="2:7">
      <c r="B336" s="17">
        <v>20</v>
      </c>
      <c r="C336" s="65" t="s">
        <v>468</v>
      </c>
      <c r="D336" s="66" t="s">
        <v>1062</v>
      </c>
      <c r="E336" s="67">
        <v>42611</v>
      </c>
      <c r="F336" s="67" t="e">
        <f>VLOOKUP($C336,'[2]INCUMBENT '!$B$2:$I$500,8,0)</f>
        <v>#N/A</v>
      </c>
      <c r="G336" s="18">
        <v>42670</v>
      </c>
    </row>
    <row r="337" ht="21.75" customHeight="1" spans="2:11">
      <c r="G337" s="18">
        <v>42670</v>
      </c>
    </row>
    <row r="338" ht="21.75" customHeight="1" spans="2:11">
      <c r="G338" s="18">
        <v>42670</v>
      </c>
    </row>
    <row r="339" ht="21.75" customHeight="1" spans="2:11">
      <c r="G339" s="18">
        <v>42670</v>
      </c>
    </row>
    <row r="340" ht="21.75" customHeight="1" spans="2:11">
      <c r="B340" s="10" t="s">
        <v>3479</v>
      </c>
      <c r="G340" s="18">
        <v>42670</v>
      </c>
    </row>
    <row r="341" ht="21.75" customHeight="1" spans="2:11">
      <c r="B341" s="11">
        <v>42663</v>
      </c>
      <c r="G341" s="18">
        <v>42670</v>
      </c>
    </row>
    <row r="342" ht="21.75" customHeight="1" spans="2:11">
      <c r="B342" s="12" t="s">
        <v>3480</v>
      </c>
      <c r="G342" s="18"/>
    </row>
    <row r="343" ht="21.75" customHeight="1" spans="2:11">
      <c r="B343" s="13" t="s">
        <v>3481</v>
      </c>
      <c r="C343" s="14" t="s">
        <v>3</v>
      </c>
      <c r="D343" s="14" t="s">
        <v>3482</v>
      </c>
      <c r="E343" s="14" t="s">
        <v>3504</v>
      </c>
      <c r="F343" s="15" t="s">
        <v>745</v>
      </c>
      <c r="G343" s="18"/>
    </row>
    <row r="344" ht="21.75" customHeight="1" spans="2:11">
      <c r="B344" s="17">
        <v>1</v>
      </c>
      <c r="C344" s="59" t="s">
        <v>428</v>
      </c>
      <c r="D344" s="3" t="s">
        <v>1856</v>
      </c>
      <c r="E344" s="3"/>
      <c r="F344" s="6">
        <v>42563</v>
      </c>
      <c r="G344" s="44"/>
    </row>
    <row r="345" ht="21.75" customHeight="1" spans="2:11">
      <c r="B345" s="17">
        <v>2</v>
      </c>
      <c r="C345" s="68" t="s">
        <v>2613</v>
      </c>
      <c r="D345" s="3" t="e">
        <f>VLOOKUP($C345,'[2]INCUMBENT '!$B$2:$I$600,4,0)</f>
        <v>#N/A</v>
      </c>
      <c r="E345" s="3" t="e">
        <f>VLOOKUP($C345,'[2]INCUMBENT '!$B$2:$I$600,4,0)</f>
        <v>#N/A</v>
      </c>
      <c r="F345" s="6" t="e">
        <f>VLOOKUP($C345,'[2]INCUMBENT '!$B$2:$I$600,8,0)</f>
        <v>#N/A</v>
      </c>
      <c r="I345" s="56"/>
      <c r="J345" s="56"/>
      <c r="K345" s="56"/>
    </row>
    <row r="346" ht="19.5" customHeight="1" spans="2:11">
      <c r="B346" s="17">
        <v>3</v>
      </c>
      <c r="C346" s="68" t="s">
        <v>457</v>
      </c>
      <c r="D346" s="3" t="e">
        <f>VLOOKUP($C346,'[2]INCUMBENT '!$B$2:$I$600,4,0)</f>
        <v>#N/A</v>
      </c>
      <c r="E346" s="3" t="e">
        <f>VLOOKUP($C346,'[2]INCUMBENT '!$B$2:$I$600,4,0)</f>
        <v>#N/A</v>
      </c>
      <c r="F346" s="6" t="e">
        <f>VLOOKUP($C346,'[2]INCUMBENT '!$B$2:$I$600,8,0)</f>
        <v>#N/A</v>
      </c>
      <c r="G346" s="18"/>
      <c r="I346" s="56"/>
      <c r="J346" s="56"/>
      <c r="K346" s="56"/>
    </row>
    <row r="347" ht="19.5" customHeight="1" spans="2:11">
      <c r="B347" s="17">
        <v>4</v>
      </c>
      <c r="C347" s="68" t="s">
        <v>456</v>
      </c>
      <c r="D347" s="3" t="e">
        <f>VLOOKUP($C347,'[2]INCUMBENT '!$B$2:$I$600,4,0)</f>
        <v>#N/A</v>
      </c>
      <c r="E347" s="3" t="e">
        <f>VLOOKUP($C347,'[2]INCUMBENT '!$B$2:$I$600,4,0)</f>
        <v>#N/A</v>
      </c>
      <c r="F347" s="6" t="e">
        <f>VLOOKUP($C347,'[2]INCUMBENT '!$B$2:$I$600,8,0)</f>
        <v>#N/A</v>
      </c>
      <c r="G347" s="18"/>
    </row>
    <row r="348" ht="19.5" customHeight="1" spans="2:11">
      <c r="B348" s="17">
        <v>5</v>
      </c>
      <c r="C348" s="68" t="s">
        <v>463</v>
      </c>
      <c r="D348" s="3" t="e">
        <f>VLOOKUP($C348,'[2]INCUMBENT '!$B$2:$I$600,4,0)</f>
        <v>#N/A</v>
      </c>
      <c r="E348" s="3" t="e">
        <f>VLOOKUP($C348,'[2]INCUMBENT '!$B$2:$I$600,4,0)</f>
        <v>#N/A</v>
      </c>
      <c r="F348" s="6" t="e">
        <f>VLOOKUP($C348,'[2]INCUMBENT '!$B$2:$I$600,8,0)</f>
        <v>#N/A</v>
      </c>
      <c r="G348" s="18"/>
    </row>
    <row r="349" ht="19.5" customHeight="1" spans="2:11">
      <c r="B349" s="17">
        <v>6</v>
      </c>
      <c r="C349" s="68" t="s">
        <v>464</v>
      </c>
      <c r="D349" s="3" t="e">
        <f>VLOOKUP($C349,'[2]INCUMBENT '!$B$2:$I$600,4,0)</f>
        <v>#N/A</v>
      </c>
      <c r="E349" s="3" t="e">
        <f>VLOOKUP($C349,'[2]INCUMBENT '!$B$2:$I$600,4,0)</f>
        <v>#N/A</v>
      </c>
      <c r="F349" s="6" t="e">
        <f>VLOOKUP($C349,'[2]INCUMBENT '!$B$2:$I$600,8,0)</f>
        <v>#N/A</v>
      </c>
      <c r="G349" s="18"/>
    </row>
    <row r="350" ht="19.5" customHeight="1" spans="2:11">
      <c r="B350" s="17">
        <v>7</v>
      </c>
      <c r="C350" s="68" t="s">
        <v>471</v>
      </c>
      <c r="D350" s="3" t="e">
        <f>VLOOKUP($C350,'[2]INCUMBENT '!$B$2:$I$600,4,0)</f>
        <v>#N/A</v>
      </c>
      <c r="E350" s="3" t="e">
        <f>VLOOKUP($C350,'[2]INCUMBENT '!$B$2:$I$600,4,0)</f>
        <v>#N/A</v>
      </c>
      <c r="F350" s="6" t="e">
        <f>VLOOKUP($C350,'[2]INCUMBENT '!$B$2:$I$600,8,0)</f>
        <v>#N/A</v>
      </c>
      <c r="G350" s="18">
        <v>42670</v>
      </c>
    </row>
    <row r="351" ht="19.5" customHeight="1" spans="2:11">
      <c r="B351" s="17">
        <v>8</v>
      </c>
      <c r="C351" s="68" t="s">
        <v>469</v>
      </c>
      <c r="D351" s="3" t="e">
        <f>VLOOKUP($C351,'[2]INCUMBENT '!$B$2:$I$600,4,0)</f>
        <v>#N/A</v>
      </c>
      <c r="E351" s="3" t="e">
        <f>VLOOKUP($C351,'[2]INCUMBENT '!$B$2:$I$600,4,0)</f>
        <v>#N/A</v>
      </c>
      <c r="F351" s="6" t="e">
        <f>VLOOKUP($C351,'[2]INCUMBENT '!$B$2:$I$600,8,0)</f>
        <v>#N/A</v>
      </c>
    </row>
    <row r="352" ht="19.5" customHeight="1" spans="2:11">
      <c r="B352" s="17">
        <v>9</v>
      </c>
      <c r="C352" s="68" t="s">
        <v>472</v>
      </c>
      <c r="D352" s="3" t="e">
        <f>VLOOKUP($C352,'[2]INCUMBENT '!$B$2:$I$600,4,0)</f>
        <v>#N/A</v>
      </c>
      <c r="E352" s="3" t="e">
        <f>VLOOKUP($C352,'[2]INCUMBENT '!$B$2:$I$600,4,0)</f>
        <v>#N/A</v>
      </c>
      <c r="F352" s="6" t="e">
        <f>VLOOKUP($C352,'[2]INCUMBENT '!$B$2:$I$600,8,0)</f>
        <v>#N/A</v>
      </c>
    </row>
    <row r="353" ht="19.5" customHeight="1" spans="2:7">
      <c r="B353" s="17">
        <v>10</v>
      </c>
      <c r="C353" s="68" t="s">
        <v>473</v>
      </c>
      <c r="D353" s="3" t="e">
        <f>VLOOKUP($C353,'[2]INCUMBENT '!$B$2:$I$600,4,0)</f>
        <v>#N/A</v>
      </c>
      <c r="E353" s="3" t="e">
        <f>VLOOKUP($C353,'[2]INCUMBENT '!$B$2:$I$600,4,0)</f>
        <v>#N/A</v>
      </c>
      <c r="F353" s="6" t="e">
        <f>VLOOKUP($C353,'[2]INCUMBENT '!$B$2:$I$600,8,0)</f>
        <v>#N/A</v>
      </c>
    </row>
    <row r="354" ht="19.5" customHeight="1" spans="2:7">
      <c r="B354" s="17">
        <v>11</v>
      </c>
      <c r="C354" s="68" t="s">
        <v>474</v>
      </c>
      <c r="D354" s="3" t="e">
        <f>VLOOKUP($C354,'[2]INCUMBENT '!$B$2:$I$600,4,0)</f>
        <v>#N/A</v>
      </c>
      <c r="E354" s="3" t="e">
        <f>VLOOKUP($C354,'[2]INCUMBENT '!$B$2:$I$600,4,0)</f>
        <v>#N/A</v>
      </c>
      <c r="F354" s="6" t="e">
        <f>VLOOKUP($C354,'[2]INCUMBENT '!$B$2:$I$600,8,0)</f>
        <v>#N/A</v>
      </c>
    </row>
    <row r="355" ht="19.5" customHeight="1" spans="2:7">
      <c r="B355" s="17">
        <v>12</v>
      </c>
      <c r="C355" s="5" t="s">
        <v>475</v>
      </c>
      <c r="D355" s="3" t="e">
        <f>VLOOKUP($C355,'[2]INCUMBENT '!$B$2:$I$600,4,0)</f>
        <v>#N/A</v>
      </c>
      <c r="E355" s="3" t="e">
        <f>VLOOKUP($C355,'[2]INCUMBENT '!$B$2:$I$600,4,0)</f>
        <v>#N/A</v>
      </c>
      <c r="F355" s="6" t="e">
        <f>VLOOKUP($C355,'[2]INCUMBENT '!$B$2:$I$600,8,0)</f>
        <v>#N/A</v>
      </c>
    </row>
    <row r="356" ht="19.5" customHeight="1" spans="2:7">
      <c r="B356" s="17">
        <v>13</v>
      </c>
      <c r="C356" s="5" t="s">
        <v>476</v>
      </c>
      <c r="D356" s="3" t="e">
        <f>VLOOKUP($C356,'[2]INCUMBENT '!$B$2:$I$600,4,0)</f>
        <v>#N/A</v>
      </c>
      <c r="E356" s="3" t="e">
        <f>VLOOKUP($C356,'[2]INCUMBENT '!$B$2:$I$600,4,0)</f>
        <v>#N/A</v>
      </c>
      <c r="F356" s="6" t="e">
        <f>VLOOKUP($C356,'[2]INCUMBENT '!$B$2:$I$600,8,0)</f>
        <v>#N/A</v>
      </c>
    </row>
    <row r="357" ht="18" customHeight="1" spans="2:7">
      <c r="B357" s="17">
        <v>14</v>
      </c>
      <c r="C357" s="5" t="s">
        <v>3329</v>
      </c>
      <c r="D357" s="3" t="e">
        <f>VLOOKUP($C357,'[2]INCUMBENT '!$B$2:$I$600,4,0)</f>
        <v>#N/A</v>
      </c>
      <c r="E357" s="3" t="e">
        <f>VLOOKUP($C357,'[2]INCUMBENT '!$B$2:$I$600,4,0)</f>
        <v>#N/A</v>
      </c>
      <c r="F357" s="6" t="e">
        <f>VLOOKUP($C357,'[2]INCUMBENT '!$B$2:$I$600,8,0)</f>
        <v>#N/A</v>
      </c>
    </row>
    <row r="358" ht="18" customHeight="1" spans="2:7">
      <c r="B358" s="17">
        <v>15</v>
      </c>
      <c r="C358" s="5" t="s">
        <v>3426</v>
      </c>
      <c r="D358" s="3" t="e">
        <f>VLOOKUP($C358,'[2]INCUMBENT '!$B$2:$I$600,4,0)</f>
        <v>#N/A</v>
      </c>
      <c r="E358" s="3" t="e">
        <f>VLOOKUP($C358,'[2]INCUMBENT '!$B$2:$I$600,4,0)</f>
        <v>#N/A</v>
      </c>
      <c r="F358" s="6" t="e">
        <f>VLOOKUP($C358,'[2]INCUMBENT '!$B$2:$I$600,8,0)</f>
        <v>#N/A</v>
      </c>
      <c r="G358" s="16" t="s">
        <v>3483</v>
      </c>
    </row>
    <row r="359" ht="24.75" customHeight="1" spans="2:7">
      <c r="B359" s="17"/>
      <c r="C359" s="5"/>
      <c r="D359" s="3"/>
      <c r="E359" s="3"/>
      <c r="F359" s="6"/>
      <c r="G359" s="18"/>
    </row>
    <row r="360" ht="24.75" customHeight="1" spans="2:7">
      <c r="B360" s="69"/>
      <c r="C360" s="60"/>
      <c r="D360" s="61"/>
      <c r="E360" s="61"/>
      <c r="F360" s="62"/>
      <c r="G360" s="18"/>
    </row>
    <row r="361" ht="24.75" customHeight="1" spans="2:7">
      <c r="B361" s="22"/>
      <c r="C361" s="23"/>
      <c r="D361" s="46"/>
      <c r="E361" s="46"/>
      <c r="F361" s="24"/>
      <c r="G361" s="18"/>
    </row>
    <row r="362" ht="24.75" customHeight="1" spans="2:7">
      <c r="G362" s="18"/>
    </row>
    <row r="363" ht="24.75" customHeight="1" spans="2:7">
      <c r="G363" s="18"/>
    </row>
    <row r="364" ht="24.75" customHeight="1" spans="2:7">
      <c r="G364" s="18"/>
    </row>
    <row r="365" ht="24.75" customHeight="1" spans="2:7">
      <c r="B365" s="10" t="s">
        <v>3479</v>
      </c>
      <c r="G365" s="18"/>
    </row>
    <row r="366" ht="24.75" customHeight="1" spans="2:7">
      <c r="B366" s="11">
        <v>42670</v>
      </c>
      <c r="G366" s="18"/>
    </row>
    <row r="367" ht="24.75" customHeight="1" spans="2:7">
      <c r="B367" s="12" t="s">
        <v>27</v>
      </c>
      <c r="G367" s="18"/>
    </row>
    <row r="368" ht="24.75" customHeight="1" spans="2:7">
      <c r="B368" s="70" t="s">
        <v>3481</v>
      </c>
      <c r="C368" s="14" t="s">
        <v>3</v>
      </c>
      <c r="D368" s="14" t="s">
        <v>3482</v>
      </c>
      <c r="E368" s="14" t="s">
        <v>745</v>
      </c>
      <c r="F368" s="15" t="s">
        <v>745</v>
      </c>
      <c r="G368" s="18"/>
    </row>
    <row r="369" ht="24.75" customHeight="1" spans="2:11">
      <c r="B369" s="17">
        <v>1</v>
      </c>
      <c r="C369" s="5" t="s">
        <v>411</v>
      </c>
      <c r="D369" s="3" t="s">
        <v>1938</v>
      </c>
      <c r="E369" s="6">
        <v>42549</v>
      </c>
      <c r="F369" s="6" t="e">
        <f>VLOOKUP($C369,'[2]INCUMBENT '!$B$2:$I$500,8,0)</f>
        <v>#N/A</v>
      </c>
      <c r="G369" s="18"/>
    </row>
    <row r="370" ht="24.75" customHeight="1" spans="2:11">
      <c r="B370" s="17">
        <v>2</v>
      </c>
      <c r="C370" s="5" t="s">
        <v>425</v>
      </c>
      <c r="D370" s="3" t="s">
        <v>1938</v>
      </c>
      <c r="E370" s="6">
        <v>42556</v>
      </c>
      <c r="F370" s="6" t="e">
        <f>VLOOKUP($C370,'[2]INCUMBENT '!$B$2:$I$500,8,0)</f>
        <v>#N/A</v>
      </c>
      <c r="G370" s="18"/>
    </row>
    <row r="371" ht="24.75" customHeight="1" spans="2:11">
      <c r="B371" s="17">
        <v>3</v>
      </c>
      <c r="C371" s="5" t="s">
        <v>434</v>
      </c>
      <c r="D371" s="3" t="s">
        <v>1431</v>
      </c>
      <c r="E371" s="6">
        <v>42566</v>
      </c>
      <c r="F371" s="6" t="e">
        <f>VLOOKUP($C371,'[2]INCUMBENT '!$B$2:$I$500,8,0)</f>
        <v>#N/A</v>
      </c>
      <c r="G371" s="18"/>
    </row>
    <row r="372" ht="24.75" customHeight="1" spans="2:11">
      <c r="B372" s="17">
        <v>4</v>
      </c>
      <c r="C372" s="5" t="s">
        <v>2593</v>
      </c>
      <c r="D372" s="3" t="s">
        <v>2131</v>
      </c>
      <c r="E372" s="6">
        <v>42569</v>
      </c>
      <c r="F372" s="6" t="e">
        <f>VLOOKUP($C372,'[2]INCUMBENT '!$B$2:$I$500,8,0)</f>
        <v>#N/A</v>
      </c>
      <c r="G372" s="18"/>
    </row>
    <row r="373" ht="24.75" customHeight="1" spans="2:11">
      <c r="B373" s="17">
        <v>5</v>
      </c>
      <c r="C373" s="5" t="s">
        <v>444</v>
      </c>
      <c r="D373" s="3" t="s">
        <v>2172</v>
      </c>
      <c r="E373" s="6">
        <v>42571</v>
      </c>
      <c r="F373" s="6" t="e">
        <f>VLOOKUP($C373,'[2]INCUMBENT '!$B$2:$I$500,8,0)</f>
        <v>#N/A</v>
      </c>
      <c r="G373" s="18"/>
    </row>
    <row r="374" ht="24.75" customHeight="1" spans="2:11">
      <c r="B374" s="17">
        <v>6</v>
      </c>
      <c r="C374" s="5" t="s">
        <v>3075</v>
      </c>
      <c r="D374" s="3" t="s">
        <v>1938</v>
      </c>
      <c r="E374" s="6">
        <v>42585</v>
      </c>
      <c r="F374" s="6" t="e">
        <f>VLOOKUP($C374,'[2]INCUMBENT '!$B$2:$I$500,8,0)</f>
        <v>#N/A</v>
      </c>
      <c r="G374" s="18"/>
    </row>
    <row r="375" ht="24.75" customHeight="1" spans="2:11">
      <c r="B375" s="17">
        <v>7</v>
      </c>
      <c r="C375" s="5" t="s">
        <v>2878</v>
      </c>
      <c r="D375" s="3" t="s">
        <v>1938</v>
      </c>
      <c r="E375" s="6">
        <v>42597</v>
      </c>
      <c r="F375" s="6" t="e">
        <f>VLOOKUP($C375,'[2]INCUMBENT '!$B$2:$I$500,8,0)</f>
        <v>#N/A</v>
      </c>
      <c r="G375" s="18"/>
    </row>
    <row r="376" ht="24.75" customHeight="1" spans="2:11">
      <c r="B376" s="17">
        <v>8</v>
      </c>
      <c r="C376" s="5" t="s">
        <v>460</v>
      </c>
      <c r="D376" s="3" t="s">
        <v>2172</v>
      </c>
      <c r="E376" s="6">
        <v>42599</v>
      </c>
      <c r="F376" s="6" t="e">
        <f>VLOOKUP($C376,'[2]INCUMBENT '!$B$2:$I$500,8,0)</f>
        <v>#N/A</v>
      </c>
      <c r="G376" s="44"/>
    </row>
    <row r="377" ht="24.75" customHeight="1" spans="2:11">
      <c r="B377" s="17">
        <v>9</v>
      </c>
      <c r="C377" s="5" t="s">
        <v>467</v>
      </c>
      <c r="D377" s="3" t="s">
        <v>1882</v>
      </c>
      <c r="E377" s="6">
        <v>42611</v>
      </c>
      <c r="F377" s="6" t="e">
        <f>VLOOKUP($C377,'[2]INCUMBENT '!$B$2:$I$500,8,0)</f>
        <v>#N/A</v>
      </c>
    </row>
    <row r="378" ht="24.75" customHeight="1" spans="2:11">
      <c r="B378" s="17">
        <v>10</v>
      </c>
      <c r="C378" s="5" t="s">
        <v>477</v>
      </c>
      <c r="D378" s="3" t="s">
        <v>1169</v>
      </c>
      <c r="E378" s="6">
        <v>42625</v>
      </c>
      <c r="F378" s="6" t="e">
        <f>VLOOKUP($C378,'[2]INCUMBENT '!$B$2:$I$500,8,0)</f>
        <v>#N/A</v>
      </c>
    </row>
    <row r="379" ht="19.5" customHeight="1" spans="2:11">
      <c r="B379" s="17">
        <v>11</v>
      </c>
      <c r="C379" s="5" t="s">
        <v>481</v>
      </c>
      <c r="D379" s="3" t="s">
        <v>1409</v>
      </c>
      <c r="E379" s="6">
        <v>42631</v>
      </c>
      <c r="F379" s="6" t="e">
        <f>VLOOKUP($C379,'[2]INCUMBENT '!$B$2:$I$500,8,0)</f>
        <v>#N/A</v>
      </c>
      <c r="I379" s="56"/>
      <c r="J379" s="56"/>
      <c r="K379" s="56"/>
    </row>
    <row r="380" ht="19.5" customHeight="1" spans="2:11">
      <c r="B380" s="17">
        <v>12</v>
      </c>
      <c r="C380" s="5" t="s">
        <v>482</v>
      </c>
      <c r="D380" s="3" t="s">
        <v>1409</v>
      </c>
      <c r="E380" s="6">
        <v>42631</v>
      </c>
      <c r="F380" s="6" t="e">
        <f>VLOOKUP($C380,'[2]INCUMBENT '!$B$2:$I$500,8,0)</f>
        <v>#N/A</v>
      </c>
    </row>
    <row r="381" spans="2:11">
      <c r="B381" s="17">
        <v>13</v>
      </c>
      <c r="C381" s="5" t="s">
        <v>485</v>
      </c>
      <c r="D381" s="3" t="s">
        <v>1062</v>
      </c>
      <c r="E381" s="6"/>
      <c r="F381" s="6">
        <v>42651</v>
      </c>
    </row>
    <row r="382" ht="17.55" spans="2:11">
      <c r="B382" s="17">
        <v>14</v>
      </c>
      <c r="C382" s="5" t="s">
        <v>486</v>
      </c>
      <c r="D382" s="3" t="s">
        <v>2172</v>
      </c>
      <c r="E382" s="6"/>
      <c r="F382" s="6">
        <v>42651</v>
      </c>
    </row>
    <row r="383" spans="2:11">
      <c r="B383" s="17">
        <v>15</v>
      </c>
      <c r="C383" s="5" t="s">
        <v>487</v>
      </c>
      <c r="D383" s="3" t="s">
        <v>1431</v>
      </c>
      <c r="E383" s="6"/>
      <c r="F383" s="6">
        <v>42651</v>
      </c>
      <c r="G383" s="16" t="s">
        <v>3483</v>
      </c>
    </row>
    <row r="384" spans="2:11">
      <c r="B384" s="17">
        <v>16</v>
      </c>
      <c r="C384" s="5" t="s">
        <v>2941</v>
      </c>
      <c r="D384" s="3" t="s">
        <v>1062</v>
      </c>
      <c r="E384" s="6"/>
      <c r="F384" s="6">
        <v>42652</v>
      </c>
      <c r="G384" s="18"/>
    </row>
    <row r="385" ht="19.5" customHeight="1" spans="2:11">
      <c r="B385" s="17">
        <v>17</v>
      </c>
      <c r="C385" s="5" t="s">
        <v>2959</v>
      </c>
      <c r="D385" s="3" t="s">
        <v>3556</v>
      </c>
      <c r="E385" s="6"/>
      <c r="F385" s="6">
        <v>42652</v>
      </c>
      <c r="G385" s="18"/>
    </row>
    <row r="386" ht="19.5" customHeight="1" spans="2:11">
      <c r="B386" s="17">
        <v>18</v>
      </c>
      <c r="C386" s="5" t="s">
        <v>492</v>
      </c>
      <c r="D386" s="3" t="s">
        <v>2674</v>
      </c>
      <c r="E386" s="6"/>
      <c r="F386" s="6">
        <v>42660</v>
      </c>
      <c r="G386" s="18"/>
    </row>
    <row r="387" ht="19.5" customHeight="1" spans="2:11">
      <c r="B387" s="17">
        <v>19</v>
      </c>
      <c r="C387" s="5" t="s">
        <v>493</v>
      </c>
      <c r="D387" s="3" t="s">
        <v>1938</v>
      </c>
      <c r="E387" s="6"/>
      <c r="F387" s="6">
        <v>42660</v>
      </c>
      <c r="G387" s="18"/>
    </row>
    <row r="388" ht="19.5" customHeight="1" spans="2:11">
      <c r="B388" s="17"/>
      <c r="C388" s="5"/>
      <c r="D388" s="3"/>
      <c r="E388" s="6"/>
      <c r="F388" s="6"/>
      <c r="G388" s="18"/>
    </row>
    <row r="389" ht="19.5" customHeight="1" spans="2:11">
      <c r="B389" s="17"/>
      <c r="C389" s="5"/>
      <c r="D389" s="3"/>
      <c r="E389" s="6"/>
      <c r="F389" s="6"/>
      <c r="G389" s="18"/>
    </row>
    <row r="390" ht="19.5" customHeight="1" spans="2:11">
      <c r="B390" s="22"/>
      <c r="C390" s="23"/>
      <c r="D390" s="46"/>
      <c r="E390" s="46"/>
      <c r="F390" s="24"/>
      <c r="G390" s="18"/>
    </row>
    <row r="391" ht="19.5" customHeight="1" spans="2:11">
      <c r="G391" s="18"/>
    </row>
    <row r="392" ht="19.5" customHeight="1" spans="2:11">
      <c r="B392" s="17">
        <v>3</v>
      </c>
      <c r="C392" s="5" t="s">
        <v>334</v>
      </c>
      <c r="D392" s="3" t="s">
        <v>1431</v>
      </c>
      <c r="E392" s="6">
        <v>42461</v>
      </c>
      <c r="F392" s="6" t="e">
        <f>VLOOKUP($C392,'[2]INCUMBENT '!$B$2:$I$500,8,0)</f>
        <v>#N/A</v>
      </c>
      <c r="G392" s="18"/>
    </row>
    <row r="393" ht="19.5" customHeight="1" spans="2:11">
      <c r="B393" s="17">
        <v>4</v>
      </c>
      <c r="C393" s="5" t="s">
        <v>376</v>
      </c>
      <c r="D393" s="3" t="s">
        <v>1954</v>
      </c>
      <c r="E393" s="6">
        <v>42513</v>
      </c>
      <c r="F393" s="6" t="e">
        <f>VLOOKUP($C393,'[2]INCUMBENT '!$B$2:$I$500,8,0)</f>
        <v>#N/A</v>
      </c>
      <c r="G393" s="18"/>
    </row>
    <row r="394" ht="19.5" customHeight="1" spans="2:11">
      <c r="B394" s="17">
        <v>5</v>
      </c>
      <c r="C394" s="5" t="s">
        <v>405</v>
      </c>
      <c r="D394" s="3" t="s">
        <v>1062</v>
      </c>
      <c r="E394" s="6">
        <v>42542</v>
      </c>
      <c r="F394" s="6" t="e">
        <f>VLOOKUP($C394,'[2]INCUMBENT '!$B$2:$I$500,8,0)</f>
        <v>#N/A</v>
      </c>
      <c r="G394" s="18"/>
    </row>
    <row r="395" ht="19.5" customHeight="1" spans="2:11">
      <c r="B395" s="17">
        <v>17</v>
      </c>
      <c r="C395" s="5" t="s">
        <v>468</v>
      </c>
      <c r="D395" s="3" t="s">
        <v>1062</v>
      </c>
      <c r="E395" s="6">
        <v>42611</v>
      </c>
      <c r="F395" s="6" t="e">
        <f>VLOOKUP($C395,'[2]INCUMBENT '!$B$2:$I$500,8,0)</f>
        <v>#N/A</v>
      </c>
      <c r="G395" s="18"/>
      <c r="I395" s="56"/>
      <c r="J395" s="56"/>
      <c r="K395" s="56"/>
    </row>
    <row r="396" ht="19.5" customHeight="1" spans="2:11">
      <c r="B396" s="17">
        <v>19</v>
      </c>
      <c r="C396" s="5" t="s">
        <v>479</v>
      </c>
      <c r="D396" s="3" t="s">
        <v>1938</v>
      </c>
      <c r="E396" s="6">
        <v>42631</v>
      </c>
      <c r="F396" s="6" t="e">
        <f>VLOOKUP($C396,'[2]INCUMBENT '!$B$2:$I$500,8,0)</f>
        <v>#N/A</v>
      </c>
      <c r="G396" s="18"/>
      <c r="I396" s="56"/>
      <c r="J396" s="56"/>
      <c r="K396" s="56"/>
    </row>
    <row r="397" ht="19.5" customHeight="1" spans="2:11">
      <c r="G397" s="18"/>
      <c r="I397" s="56"/>
      <c r="J397" s="56"/>
      <c r="K397" s="56"/>
    </row>
    <row r="398" ht="19.5" customHeight="1" spans="2:11">
      <c r="G398" s="44"/>
      <c r="I398" s="56"/>
      <c r="J398" s="56"/>
      <c r="K398" s="56"/>
    </row>
    <row r="399" ht="19.5" customHeight="1" spans="2:11">
      <c r="I399" s="56"/>
      <c r="J399" s="56"/>
      <c r="K399" s="56"/>
    </row>
    <row r="400" ht="19.5" customHeight="1"/>
    <row r="402" ht="17.55" spans="2:13">
      <c r="B402" s="11">
        <v>42583</v>
      </c>
    </row>
    <row r="403" ht="17.55" spans="2:13">
      <c r="B403" s="12" t="s">
        <v>3480</v>
      </c>
      <c r="G403" s="16" t="s">
        <v>3483</v>
      </c>
    </row>
    <row r="404" spans="2:13">
      <c r="B404" s="13" t="s">
        <v>3481</v>
      </c>
      <c r="C404" s="14" t="s">
        <v>3</v>
      </c>
      <c r="D404" s="14" t="s">
        <v>3482</v>
      </c>
      <c r="E404" s="14" t="s">
        <v>3504</v>
      </c>
      <c r="F404" s="15" t="s">
        <v>745</v>
      </c>
      <c r="G404" s="18"/>
    </row>
    <row r="405" ht="19.5" customHeight="1" spans="2:13">
      <c r="B405" s="17">
        <v>1</v>
      </c>
      <c r="C405" s="5" t="s">
        <v>2219</v>
      </c>
      <c r="D405" s="3" t="s">
        <v>1252</v>
      </c>
      <c r="E405" s="3"/>
      <c r="F405" s="6">
        <v>42510</v>
      </c>
      <c r="G405" s="18"/>
      <c r="I405" s="54" t="s">
        <v>3528</v>
      </c>
      <c r="J405" s="55" t="s">
        <v>3529</v>
      </c>
      <c r="K405" s="55" t="s">
        <v>3530</v>
      </c>
    </row>
    <row r="406" ht="19.5" customHeight="1" spans="2:13">
      <c r="B406" s="17">
        <v>2</v>
      </c>
      <c r="C406" s="5" t="s">
        <v>381</v>
      </c>
      <c r="D406" s="3" t="s">
        <v>3557</v>
      </c>
      <c r="E406" s="3"/>
      <c r="F406" s="6">
        <v>42520</v>
      </c>
      <c r="G406" s="18"/>
      <c r="I406" s="56" t="s">
        <v>3533</v>
      </c>
      <c r="J406" s="56"/>
      <c r="K406" s="56"/>
    </row>
    <row r="407" ht="19.5" customHeight="1" spans="2:13">
      <c r="B407" s="17">
        <v>3</v>
      </c>
      <c r="C407" s="5" t="s">
        <v>379</v>
      </c>
      <c r="D407" s="3" t="s">
        <v>1169</v>
      </c>
      <c r="E407" s="3"/>
      <c r="F407" s="6">
        <v>42520</v>
      </c>
      <c r="G407" s="18"/>
      <c r="I407" s="56" t="s">
        <v>3534</v>
      </c>
      <c r="J407" s="56"/>
      <c r="K407" s="56"/>
    </row>
    <row r="408" ht="19.5" customHeight="1" spans="2:13">
      <c r="B408" s="17">
        <v>4</v>
      </c>
      <c r="C408" s="5" t="s">
        <v>2209</v>
      </c>
      <c r="D408" s="3" t="s">
        <v>2210</v>
      </c>
      <c r="E408" s="3"/>
      <c r="F408" s="6">
        <v>42520</v>
      </c>
      <c r="G408" s="18"/>
      <c r="I408" s="56" t="s">
        <v>3558</v>
      </c>
      <c r="J408" s="56"/>
      <c r="K408" s="56"/>
    </row>
    <row r="409" ht="19.5" customHeight="1" spans="2:13">
      <c r="B409" s="17">
        <v>5</v>
      </c>
      <c r="C409" s="5" t="s">
        <v>383</v>
      </c>
      <c r="D409" s="3" t="s">
        <v>1555</v>
      </c>
      <c r="E409" s="3"/>
      <c r="F409" s="6">
        <v>42520</v>
      </c>
      <c r="G409" s="18"/>
      <c r="I409" s="56" t="s">
        <v>3559</v>
      </c>
      <c r="J409" s="56"/>
      <c r="K409" s="56"/>
      <c r="M409" s="57"/>
    </row>
    <row r="410" ht="19.5" customHeight="1" spans="2:13">
      <c r="B410" s="17">
        <v>6</v>
      </c>
      <c r="C410" s="5" t="s">
        <v>387</v>
      </c>
      <c r="D410" s="3" t="s">
        <v>3557</v>
      </c>
      <c r="E410" s="3"/>
      <c r="F410" s="6">
        <v>42524</v>
      </c>
      <c r="G410" s="18"/>
    </row>
    <row r="411" ht="19.5" customHeight="1" spans="2:13">
      <c r="B411" s="17">
        <v>7</v>
      </c>
      <c r="C411" s="5" t="s">
        <v>391</v>
      </c>
      <c r="D411" s="3" t="s">
        <v>1856</v>
      </c>
      <c r="E411" s="3"/>
      <c r="F411" s="6">
        <v>42527</v>
      </c>
      <c r="G411" s="18"/>
    </row>
    <row r="412" ht="19.5" customHeight="1" spans="2:13">
      <c r="B412" s="17">
        <v>8</v>
      </c>
      <c r="C412" s="5" t="s">
        <v>390</v>
      </c>
      <c r="D412" s="3" t="s">
        <v>3560</v>
      </c>
      <c r="E412" s="3"/>
      <c r="F412" s="6">
        <v>42527</v>
      </c>
      <c r="G412" s="18"/>
      <c r="I412" s="57" t="s">
        <v>3539</v>
      </c>
      <c r="M412" s="57" t="s">
        <v>3540</v>
      </c>
    </row>
    <row r="413" ht="19.5" customHeight="1" spans="2:13">
      <c r="B413" s="17">
        <v>9</v>
      </c>
      <c r="C413" s="5" t="s">
        <v>389</v>
      </c>
      <c r="D413" s="3" t="s">
        <v>1576</v>
      </c>
      <c r="E413" s="3"/>
      <c r="F413" s="6">
        <v>42527</v>
      </c>
      <c r="G413" s="18"/>
      <c r="I413" s="2" t="s">
        <v>3541</v>
      </c>
      <c r="M413" s="2" t="s">
        <v>3542</v>
      </c>
    </row>
    <row r="414" ht="19.5" customHeight="1" spans="2:13">
      <c r="B414" s="17">
        <v>10</v>
      </c>
      <c r="C414" s="5" t="s">
        <v>394</v>
      </c>
      <c r="D414" s="3" t="s">
        <v>2560</v>
      </c>
      <c r="E414" s="3"/>
      <c r="F414" s="6">
        <v>42534</v>
      </c>
      <c r="G414" s="18"/>
      <c r="I414" s="2" t="s">
        <v>3544</v>
      </c>
      <c r="M414" s="2" t="s">
        <v>3545</v>
      </c>
    </row>
    <row r="415" ht="19.5" customHeight="1" spans="2:13">
      <c r="B415" s="17">
        <v>11</v>
      </c>
      <c r="C415" s="5" t="s">
        <v>395</v>
      </c>
      <c r="D415" s="3" t="s">
        <v>3556</v>
      </c>
      <c r="E415" s="3"/>
      <c r="F415" s="6">
        <v>42535</v>
      </c>
      <c r="G415" s="18"/>
      <c r="I415" s="2" t="s">
        <v>3546</v>
      </c>
      <c r="M415" s="2" t="s">
        <v>3547</v>
      </c>
    </row>
    <row r="416" ht="19.5" customHeight="1" spans="2:13">
      <c r="B416" s="17">
        <v>12</v>
      </c>
      <c r="C416" s="5" t="s">
        <v>401</v>
      </c>
      <c r="D416" s="3" t="s">
        <v>1555</v>
      </c>
      <c r="E416" s="3"/>
      <c r="F416" s="6">
        <v>42542</v>
      </c>
      <c r="G416" s="18"/>
      <c r="I416" s="2" t="s">
        <v>3548</v>
      </c>
      <c r="M416" s="2" t="s">
        <v>3549</v>
      </c>
    </row>
    <row r="417" ht="19.5" customHeight="1" spans="2:13">
      <c r="B417" s="17">
        <v>13</v>
      </c>
      <c r="C417" s="5" t="s">
        <v>409</v>
      </c>
      <c r="D417" s="3" t="s">
        <v>1856</v>
      </c>
      <c r="E417" s="3"/>
      <c r="F417" s="6">
        <v>42548</v>
      </c>
      <c r="G417" s="18"/>
      <c r="I417" s="2" t="s">
        <v>3550</v>
      </c>
      <c r="M417" s="2" t="s">
        <v>3551</v>
      </c>
    </row>
    <row r="418" ht="19.5" customHeight="1" spans="2:13">
      <c r="B418" s="17">
        <v>14</v>
      </c>
      <c r="C418" s="5" t="s">
        <v>410</v>
      </c>
      <c r="D418" s="3" t="s">
        <v>1169</v>
      </c>
      <c r="E418" s="3"/>
      <c r="F418" s="6">
        <v>42548</v>
      </c>
      <c r="G418" s="18"/>
    </row>
    <row r="419" ht="19.5" customHeight="1" spans="2:13">
      <c r="B419" s="17">
        <v>15</v>
      </c>
      <c r="C419" s="5" t="s">
        <v>408</v>
      </c>
      <c r="D419" s="3" t="s">
        <v>2560</v>
      </c>
      <c r="E419" s="3"/>
      <c r="F419" s="6">
        <v>42548</v>
      </c>
      <c r="G419" s="18"/>
      <c r="I419" s="57" t="s">
        <v>3552</v>
      </c>
    </row>
    <row r="420" ht="19.5" customHeight="1" spans="2:13">
      <c r="B420" s="17">
        <v>16</v>
      </c>
      <c r="C420" s="5" t="s">
        <v>414</v>
      </c>
      <c r="D420" s="3" t="s">
        <v>1169</v>
      </c>
      <c r="E420" s="3"/>
      <c r="F420" s="6">
        <v>42555</v>
      </c>
      <c r="G420" s="18"/>
      <c r="I420" s="2" t="s">
        <v>3553</v>
      </c>
    </row>
    <row r="421" ht="19.5" customHeight="1" spans="2:13">
      <c r="B421" s="17"/>
      <c r="C421" s="5"/>
      <c r="D421" s="41"/>
      <c r="E421" s="41"/>
      <c r="F421" s="31"/>
      <c r="G421" s="18"/>
      <c r="I421" s="2" t="s">
        <v>3554</v>
      </c>
    </row>
    <row r="422" ht="19.5" customHeight="1" spans="2:13">
      <c r="B422" s="22"/>
      <c r="C422" s="23"/>
      <c r="D422" s="46"/>
      <c r="E422" s="46"/>
      <c r="F422" s="24"/>
      <c r="G422" s="18"/>
    </row>
    <row r="423" ht="19.5" customHeight="1" spans="2:13">
      <c r="G423" s="18"/>
    </row>
    <row r="424" ht="19.5" customHeight="1" spans="2:13">
      <c r="G424" s="18"/>
    </row>
    <row r="425" ht="19.5" customHeight="1" spans="2:13">
      <c r="G425" s="18"/>
    </row>
    <row r="426" ht="19.5" customHeight="1" spans="2:13">
      <c r="B426" s="10" t="s">
        <v>3479</v>
      </c>
      <c r="G426" s="18"/>
    </row>
    <row r="427" ht="19.5" customHeight="1" spans="2:13">
      <c r="B427" s="11">
        <v>42593</v>
      </c>
      <c r="G427" s="18"/>
    </row>
    <row r="428" ht="19.5" customHeight="1" spans="2:13">
      <c r="B428" s="12" t="s">
        <v>3480</v>
      </c>
      <c r="G428" s="18"/>
    </row>
    <row r="429" ht="19.5" customHeight="1" spans="2:13">
      <c r="B429" s="13" t="s">
        <v>3481</v>
      </c>
      <c r="C429" s="14" t="s">
        <v>3</v>
      </c>
      <c r="D429" s="14" t="s">
        <v>3482</v>
      </c>
      <c r="E429" s="14" t="s">
        <v>3504</v>
      </c>
      <c r="F429" s="15" t="s">
        <v>745</v>
      </c>
      <c r="G429" s="18"/>
    </row>
    <row r="430" ht="19.5" customHeight="1" spans="2:13">
      <c r="B430" s="17">
        <v>1</v>
      </c>
      <c r="C430" s="5" t="s">
        <v>412</v>
      </c>
      <c r="D430" s="3" t="s">
        <v>1773</v>
      </c>
      <c r="E430" s="3"/>
      <c r="F430" s="6">
        <v>42552</v>
      </c>
      <c r="G430" s="18"/>
    </row>
    <row r="431" ht="19.5" customHeight="1" spans="2:13">
      <c r="B431" s="17">
        <v>2</v>
      </c>
      <c r="C431" s="5" t="s">
        <v>424</v>
      </c>
      <c r="D431" s="3" t="s">
        <v>3560</v>
      </c>
      <c r="E431" s="3"/>
      <c r="F431" s="6">
        <v>42556</v>
      </c>
      <c r="G431" s="18"/>
    </row>
    <row r="432" ht="19.5" customHeight="1" spans="2:13">
      <c r="B432" s="17">
        <v>3</v>
      </c>
      <c r="C432" s="5" t="s">
        <v>2171</v>
      </c>
      <c r="D432" s="3" t="s">
        <v>2551</v>
      </c>
      <c r="E432" s="3"/>
      <c r="F432" s="6">
        <v>42571</v>
      </c>
      <c r="G432" s="18"/>
    </row>
    <row r="433" ht="19.5" customHeight="1" spans="2:11">
      <c r="B433" s="17">
        <v>4</v>
      </c>
      <c r="C433" s="5" t="s">
        <v>446</v>
      </c>
      <c r="D433" s="3" t="s">
        <v>3561</v>
      </c>
      <c r="E433" s="3"/>
      <c r="F433" s="6">
        <v>42572</v>
      </c>
      <c r="G433" s="18"/>
    </row>
    <row r="434" ht="19.5" customHeight="1" spans="2:11">
      <c r="B434" s="17">
        <v>5</v>
      </c>
      <c r="C434" s="5" t="s">
        <v>445</v>
      </c>
      <c r="D434" s="3" t="s">
        <v>3560</v>
      </c>
      <c r="E434" s="3"/>
      <c r="F434" s="6">
        <v>42572</v>
      </c>
      <c r="G434" s="44"/>
    </row>
    <row r="435" ht="19.5" customHeight="1" spans="2:11">
      <c r="B435" s="17">
        <v>6</v>
      </c>
      <c r="C435" s="5" t="s">
        <v>447</v>
      </c>
      <c r="D435" s="3" t="s">
        <v>1773</v>
      </c>
      <c r="E435" s="3"/>
      <c r="F435" s="6">
        <v>42576</v>
      </c>
      <c r="I435" s="56"/>
      <c r="J435" s="56"/>
      <c r="K435" s="56"/>
    </row>
    <row r="436" ht="19.5" customHeight="1" spans="2:11">
      <c r="B436" s="17">
        <v>7</v>
      </c>
      <c r="C436" s="5" t="s">
        <v>448</v>
      </c>
      <c r="D436" s="3" t="s">
        <v>1555</v>
      </c>
      <c r="E436" s="3"/>
      <c r="F436" s="6">
        <v>42578</v>
      </c>
      <c r="I436" s="56"/>
      <c r="J436" s="56"/>
      <c r="K436" s="56"/>
    </row>
    <row r="437" ht="19.5" customHeight="1" spans="2:11">
      <c r="B437" s="17">
        <v>8</v>
      </c>
      <c r="C437" s="5" t="s">
        <v>450</v>
      </c>
      <c r="D437" s="3" t="s">
        <v>1252</v>
      </c>
      <c r="E437" s="3"/>
      <c r="F437" s="6">
        <v>42583</v>
      </c>
    </row>
    <row r="438" ht="19.5" customHeight="1" spans="2:11">
      <c r="B438" s="17">
        <v>9</v>
      </c>
      <c r="C438" s="5" t="s">
        <v>449</v>
      </c>
      <c r="D438" s="3" t="s">
        <v>1773</v>
      </c>
      <c r="E438" s="3"/>
      <c r="F438" s="6">
        <v>42583</v>
      </c>
      <c r="G438" s="45"/>
    </row>
    <row r="439" ht="19.5" customHeight="1" spans="2:11">
      <c r="B439" s="17">
        <v>10</v>
      </c>
      <c r="C439" s="5" t="s">
        <v>452</v>
      </c>
      <c r="D439" s="3" t="s">
        <v>1576</v>
      </c>
      <c r="E439" s="3"/>
      <c r="F439" s="6">
        <v>42583</v>
      </c>
    </row>
    <row r="440" ht="19.5" customHeight="1" spans="2:11">
      <c r="B440" s="17">
        <v>11</v>
      </c>
      <c r="C440" s="5" t="s">
        <v>403</v>
      </c>
      <c r="D440" s="3" t="s">
        <v>1798</v>
      </c>
      <c r="E440" s="3"/>
      <c r="F440" s="6">
        <v>42542</v>
      </c>
      <c r="I440" s="56"/>
      <c r="J440" s="56"/>
      <c r="K440" s="56"/>
    </row>
    <row r="441" ht="17.55" spans="2:11">
      <c r="B441" s="17">
        <v>12</v>
      </c>
      <c r="C441" s="5" t="s">
        <v>386</v>
      </c>
      <c r="D441" s="3" t="s">
        <v>2210</v>
      </c>
      <c r="E441" s="3"/>
      <c r="F441" s="6">
        <v>42522</v>
      </c>
    </row>
    <row r="442" spans="2:11">
      <c r="B442" s="17">
        <v>13</v>
      </c>
      <c r="C442" s="5" t="s">
        <v>396</v>
      </c>
      <c r="D442" s="3" t="s">
        <v>3562</v>
      </c>
      <c r="E442" s="3"/>
      <c r="F442" s="6">
        <v>42535</v>
      </c>
      <c r="G442" s="16" t="s">
        <v>3483</v>
      </c>
    </row>
    <row r="443" spans="2:11">
      <c r="B443" s="17">
        <v>14</v>
      </c>
      <c r="C443" s="5" t="s">
        <v>454</v>
      </c>
      <c r="D443" s="41"/>
      <c r="E443" s="41"/>
      <c r="F443" s="31"/>
      <c r="G443" s="32">
        <v>42507</v>
      </c>
    </row>
    <row r="444" ht="17.55" spans="2:11">
      <c r="B444" s="22">
        <v>15</v>
      </c>
      <c r="C444" s="23" t="s">
        <v>2109</v>
      </c>
      <c r="D444" s="46"/>
      <c r="E444" s="46"/>
      <c r="F444" s="24"/>
      <c r="G444" s="284" t="s">
        <v>3532</v>
      </c>
    </row>
    <row r="445" ht="19.5" customHeight="1" spans="2:11">
      <c r="G445" s="284" t="s">
        <v>3532</v>
      </c>
      <c r="I445" s="54" t="s">
        <v>3528</v>
      </c>
      <c r="J445" s="55" t="s">
        <v>3529</v>
      </c>
      <c r="K445" s="55" t="s">
        <v>3530</v>
      </c>
    </row>
    <row r="446" ht="19.5" customHeight="1" spans="2:11">
      <c r="B446" s="10" t="s">
        <v>3479</v>
      </c>
      <c r="G446" s="18">
        <v>42507</v>
      </c>
      <c r="I446" s="56" t="s">
        <v>3533</v>
      </c>
      <c r="J446" s="56"/>
      <c r="K446" s="56"/>
    </row>
    <row r="447" ht="19.5" customHeight="1" spans="2:11">
      <c r="B447" s="11">
        <v>42591</v>
      </c>
      <c r="G447" s="18">
        <v>42507</v>
      </c>
      <c r="I447" s="56" t="s">
        <v>3534</v>
      </c>
      <c r="J447" s="56"/>
      <c r="K447" s="56"/>
    </row>
    <row r="448" ht="19.5" customHeight="1" spans="2:11">
      <c r="B448" s="12" t="s">
        <v>27</v>
      </c>
      <c r="G448" s="18">
        <v>42507</v>
      </c>
      <c r="I448" s="56" t="s">
        <v>3558</v>
      </c>
      <c r="J448" s="56"/>
      <c r="K448" s="56"/>
    </row>
    <row r="449" ht="19.5" customHeight="1" spans="2:13">
      <c r="B449" s="70" t="s">
        <v>3481</v>
      </c>
      <c r="C449" s="14" t="s">
        <v>3</v>
      </c>
      <c r="D449" s="14" t="s">
        <v>3482</v>
      </c>
      <c r="E449" s="14" t="s">
        <v>3504</v>
      </c>
      <c r="F449" s="15" t="s">
        <v>745</v>
      </c>
      <c r="G449" s="18">
        <v>42507</v>
      </c>
      <c r="I449" s="56" t="s">
        <v>3559</v>
      </c>
      <c r="J449" s="56"/>
      <c r="K449" s="56"/>
      <c r="M449" s="57"/>
    </row>
    <row r="450" ht="19.5" customHeight="1" spans="2:13">
      <c r="B450" s="17">
        <v>1</v>
      </c>
      <c r="C450" s="5" t="s">
        <v>334</v>
      </c>
      <c r="D450" s="3" t="e">
        <f>VLOOKUP($C450,[3]INCUMBENT!$B$2:$F$222,3,0)</f>
        <v>#N/A</v>
      </c>
      <c r="E450" s="3"/>
      <c r="F450" s="6" t="e">
        <f>VLOOKUP($C450,[3]INCUMBENT!$B$2:$F$222,5,0)</f>
        <v>#N/A</v>
      </c>
      <c r="G450" s="18">
        <v>42507</v>
      </c>
    </row>
    <row r="451" ht="19.5" customHeight="1" spans="2:13">
      <c r="B451" s="17">
        <v>2</v>
      </c>
      <c r="C451" s="5" t="s">
        <v>349</v>
      </c>
      <c r="D451" s="3" t="e">
        <f>VLOOKUP($C451,[3]INCUMBENT!$B$2:$F$222,3,0)</f>
        <v>#N/A</v>
      </c>
      <c r="E451" s="3"/>
      <c r="F451" s="6" t="e">
        <f>VLOOKUP($C451,[3]INCUMBENT!$B$2:$F$222,5,0)</f>
        <v>#N/A</v>
      </c>
      <c r="G451" s="18">
        <v>42507</v>
      </c>
    </row>
    <row r="452" ht="19.5" customHeight="1" spans="2:13">
      <c r="B452" s="17">
        <v>3</v>
      </c>
      <c r="C452" s="5" t="s">
        <v>376</v>
      </c>
      <c r="D452" s="3" t="s">
        <v>1954</v>
      </c>
      <c r="E452" s="3"/>
      <c r="F452" s="6">
        <v>42513</v>
      </c>
      <c r="G452" s="18">
        <v>42507</v>
      </c>
      <c r="I452" s="57" t="s">
        <v>3539</v>
      </c>
      <c r="M452" s="57" t="s">
        <v>3540</v>
      </c>
    </row>
    <row r="453" ht="19.5" customHeight="1" spans="2:13">
      <c r="B453" s="17">
        <v>4</v>
      </c>
      <c r="C453" s="5" t="s">
        <v>397</v>
      </c>
      <c r="D453" s="3" t="s">
        <v>1409</v>
      </c>
      <c r="E453" s="3"/>
      <c r="F453" s="6">
        <v>42536</v>
      </c>
      <c r="G453" s="18">
        <v>42507</v>
      </c>
      <c r="I453" s="2" t="s">
        <v>3541</v>
      </c>
      <c r="M453" s="2" t="s">
        <v>3542</v>
      </c>
    </row>
    <row r="454" ht="19.5" customHeight="1" spans="2:13">
      <c r="B454" s="17">
        <v>5</v>
      </c>
      <c r="C454" s="5" t="s">
        <v>2333</v>
      </c>
      <c r="D454" s="3" t="s">
        <v>1062</v>
      </c>
      <c r="E454" s="3"/>
      <c r="F454" s="6">
        <v>42536</v>
      </c>
      <c r="G454" s="18">
        <v>42507</v>
      </c>
      <c r="I454" s="2" t="s">
        <v>3544</v>
      </c>
      <c r="M454" s="2" t="s">
        <v>3545</v>
      </c>
    </row>
    <row r="455" ht="19.5" customHeight="1" spans="2:13">
      <c r="B455" s="17">
        <v>6</v>
      </c>
      <c r="C455" s="5" t="s">
        <v>405</v>
      </c>
      <c r="D455" s="3" t="s">
        <v>1062</v>
      </c>
      <c r="E455" s="3"/>
      <c r="F455" s="6">
        <v>42542</v>
      </c>
      <c r="G455" s="18">
        <v>42507</v>
      </c>
      <c r="I455" s="2" t="s">
        <v>3546</v>
      </c>
      <c r="M455" s="2" t="s">
        <v>3547</v>
      </c>
    </row>
    <row r="456" ht="19.5" customHeight="1" spans="2:13">
      <c r="B456" s="17">
        <v>7</v>
      </c>
      <c r="C456" s="5" t="s">
        <v>406</v>
      </c>
      <c r="D456" s="3" t="s">
        <v>1882</v>
      </c>
      <c r="E456" s="3"/>
      <c r="F456" s="6">
        <v>42542</v>
      </c>
      <c r="G456" s="18">
        <v>42507</v>
      </c>
      <c r="I456" s="2" t="s">
        <v>3548</v>
      </c>
      <c r="M456" s="2" t="s">
        <v>3549</v>
      </c>
    </row>
    <row r="457" ht="19.5" customHeight="1" spans="2:13">
      <c r="B457" s="17">
        <v>8</v>
      </c>
      <c r="C457" s="5" t="s">
        <v>2477</v>
      </c>
      <c r="D457" s="3" t="s">
        <v>1882</v>
      </c>
      <c r="E457" s="3"/>
      <c r="F457" s="6">
        <v>42542</v>
      </c>
      <c r="G457" s="18">
        <v>42507</v>
      </c>
      <c r="I457" s="2" t="s">
        <v>3550</v>
      </c>
      <c r="M457" s="2" t="s">
        <v>3551</v>
      </c>
    </row>
    <row r="458" ht="19.5" customHeight="1" spans="2:13">
      <c r="B458" s="17">
        <v>9</v>
      </c>
      <c r="C458" s="5" t="s">
        <v>2391</v>
      </c>
      <c r="D458" s="3" t="s">
        <v>1555</v>
      </c>
      <c r="E458" s="3"/>
      <c r="F458" s="6">
        <v>42543</v>
      </c>
      <c r="G458" s="18">
        <v>42507</v>
      </c>
    </row>
    <row r="459" ht="19.5" customHeight="1" spans="2:13">
      <c r="B459" s="17">
        <v>10</v>
      </c>
      <c r="C459" s="5" t="s">
        <v>2418</v>
      </c>
      <c r="D459" s="3" t="s">
        <v>1409</v>
      </c>
      <c r="E459" s="3"/>
      <c r="F459" s="6">
        <v>42548</v>
      </c>
      <c r="G459" s="18">
        <v>42507</v>
      </c>
      <c r="I459" s="57" t="s">
        <v>3552</v>
      </c>
    </row>
    <row r="460" ht="19.5" customHeight="1" spans="2:13">
      <c r="B460" s="17">
        <v>11</v>
      </c>
      <c r="C460" s="5" t="s">
        <v>2305</v>
      </c>
      <c r="D460" s="3" t="s">
        <v>1555</v>
      </c>
      <c r="E460" s="3"/>
      <c r="F460" s="6">
        <v>42548</v>
      </c>
      <c r="G460" s="284" t="s">
        <v>3532</v>
      </c>
      <c r="I460" s="2" t="s">
        <v>3553</v>
      </c>
    </row>
    <row r="461" ht="19.5" customHeight="1" spans="2:13">
      <c r="B461" s="17">
        <v>12</v>
      </c>
      <c r="C461" s="5" t="s">
        <v>411</v>
      </c>
      <c r="D461" s="3" t="s">
        <v>1938</v>
      </c>
      <c r="E461" s="3"/>
      <c r="F461" s="6">
        <v>42549</v>
      </c>
      <c r="G461" s="18">
        <v>42507</v>
      </c>
      <c r="I461" s="2" t="s">
        <v>3554</v>
      </c>
    </row>
    <row r="462" ht="19.5" customHeight="1" spans="2:13">
      <c r="B462" s="17">
        <v>13</v>
      </c>
      <c r="C462" s="5" t="s">
        <v>2887</v>
      </c>
      <c r="D462" s="3" t="s">
        <v>1409</v>
      </c>
      <c r="E462" s="3"/>
      <c r="F462" s="6">
        <v>42549</v>
      </c>
      <c r="G462" s="18">
        <v>42507</v>
      </c>
      <c r="I462" s="56"/>
      <c r="J462" s="56"/>
      <c r="K462" s="56"/>
    </row>
    <row r="463" ht="19.5" customHeight="1" spans="2:13">
      <c r="B463" s="17">
        <v>14</v>
      </c>
      <c r="C463" s="5" t="s">
        <v>2340</v>
      </c>
      <c r="D463" s="3" t="s">
        <v>1555</v>
      </c>
      <c r="E463" s="3"/>
      <c r="F463" s="6">
        <v>42550</v>
      </c>
      <c r="G463" s="44"/>
      <c r="I463" s="56"/>
      <c r="J463" s="56"/>
      <c r="K463" s="56"/>
    </row>
    <row r="464" ht="19.5" customHeight="1" spans="2:13">
      <c r="B464" s="17">
        <v>15</v>
      </c>
      <c r="C464" s="5" t="s">
        <v>2139</v>
      </c>
      <c r="D464" s="3" t="s">
        <v>1938</v>
      </c>
      <c r="E464" s="3"/>
      <c r="F464" s="6">
        <v>42551</v>
      </c>
      <c r="I464" s="56"/>
      <c r="J464" s="56"/>
      <c r="K464" s="56"/>
    </row>
    <row r="465" ht="19.5" customHeight="1" spans="2:11">
      <c r="B465" s="17">
        <v>16</v>
      </c>
      <c r="C465" s="5" t="s">
        <v>2315</v>
      </c>
      <c r="D465" s="3" t="s">
        <v>1431</v>
      </c>
      <c r="E465" s="3"/>
      <c r="F465" s="6">
        <v>42552</v>
      </c>
      <c r="I465" s="56"/>
      <c r="J465" s="56"/>
      <c r="K465" s="56"/>
    </row>
    <row r="466" ht="19.5" customHeight="1" spans="2:11">
      <c r="B466" s="17">
        <v>17</v>
      </c>
      <c r="C466" s="5" t="s">
        <v>416</v>
      </c>
      <c r="D466" s="3" t="s">
        <v>1555</v>
      </c>
      <c r="E466" s="3"/>
      <c r="F466" s="6">
        <v>42555</v>
      </c>
    </row>
    <row r="467" ht="19.5" customHeight="1" spans="2:11">
      <c r="B467" s="17">
        <v>18</v>
      </c>
      <c r="C467" s="5" t="s">
        <v>418</v>
      </c>
      <c r="D467" s="3" t="s">
        <v>3562</v>
      </c>
      <c r="E467" s="3"/>
      <c r="F467" s="6">
        <v>42555</v>
      </c>
      <c r="G467" s="45"/>
    </row>
    <row r="468" ht="19.5" customHeight="1" spans="2:11">
      <c r="B468" s="17">
        <v>19</v>
      </c>
      <c r="C468" s="5" t="s">
        <v>419</v>
      </c>
      <c r="D468" s="3" t="s">
        <v>1856</v>
      </c>
      <c r="E468" s="3"/>
      <c r="F468" s="6">
        <v>42555</v>
      </c>
      <c r="G468" s="45"/>
    </row>
    <row r="469" ht="19.5" customHeight="1" spans="2:11">
      <c r="B469" s="17">
        <v>20</v>
      </c>
      <c r="C469" s="5" t="s">
        <v>2382</v>
      </c>
      <c r="D469" s="3" t="s">
        <v>1856</v>
      </c>
      <c r="E469" s="3"/>
      <c r="F469" s="6">
        <v>42555</v>
      </c>
      <c r="I469" s="56"/>
      <c r="J469" s="56"/>
      <c r="K469" s="56"/>
    </row>
    <row r="470" ht="19.5" customHeight="1" spans="2:11">
      <c r="B470" s="17">
        <v>21</v>
      </c>
      <c r="C470" s="5" t="s">
        <v>2485</v>
      </c>
      <c r="D470" s="3" t="s">
        <v>1882</v>
      </c>
      <c r="E470" s="3"/>
      <c r="F470" s="6">
        <v>42555</v>
      </c>
      <c r="I470" s="56"/>
      <c r="J470" s="56"/>
      <c r="K470" s="56"/>
    </row>
    <row r="471" ht="17.55" spans="2:11">
      <c r="B471" s="17">
        <v>22</v>
      </c>
      <c r="C471" s="5" t="s">
        <v>2373</v>
      </c>
      <c r="D471" s="3" t="s">
        <v>1954</v>
      </c>
      <c r="E471" s="3"/>
      <c r="F471" s="6">
        <v>42555</v>
      </c>
    </row>
    <row r="472" spans="2:11">
      <c r="B472" s="17">
        <v>23</v>
      </c>
      <c r="C472" s="5" t="s">
        <v>421</v>
      </c>
      <c r="D472" s="3" t="s">
        <v>1409</v>
      </c>
      <c r="E472" s="3"/>
      <c r="F472" s="6">
        <v>42555</v>
      </c>
      <c r="G472" s="16" t="s">
        <v>3483</v>
      </c>
    </row>
    <row r="473" spans="2:11">
      <c r="B473" s="17">
        <v>24</v>
      </c>
      <c r="C473" s="5" t="s">
        <v>425</v>
      </c>
      <c r="D473" s="3" t="s">
        <v>1938</v>
      </c>
      <c r="E473" s="3"/>
      <c r="F473" s="6">
        <v>42556</v>
      </c>
      <c r="G473" s="18">
        <v>42513</v>
      </c>
    </row>
    <row r="474" spans="2:11">
      <c r="B474" s="17">
        <v>25</v>
      </c>
      <c r="C474" s="5" t="s">
        <v>426</v>
      </c>
      <c r="D474" s="3" t="s">
        <v>3556</v>
      </c>
      <c r="E474" s="3"/>
      <c r="F474" s="6">
        <v>42557</v>
      </c>
      <c r="G474" s="18">
        <v>42513</v>
      </c>
    </row>
    <row r="475" ht="19.5" customHeight="1" spans="2:11">
      <c r="B475" s="17">
        <v>26</v>
      </c>
      <c r="C475" s="5" t="s">
        <v>2182</v>
      </c>
      <c r="D475" s="3" t="s">
        <v>1431</v>
      </c>
      <c r="E475" s="3"/>
      <c r="F475" s="6">
        <v>42562</v>
      </c>
      <c r="G475" s="18">
        <v>42513</v>
      </c>
      <c r="I475" s="56"/>
      <c r="J475" s="56"/>
      <c r="K475" s="56"/>
    </row>
    <row r="476" ht="19.5" customHeight="1" spans="2:11">
      <c r="B476" s="17">
        <v>27</v>
      </c>
      <c r="C476" s="5" t="s">
        <v>430</v>
      </c>
      <c r="D476" s="3" t="s">
        <v>1431</v>
      </c>
      <c r="E476" s="3"/>
      <c r="F476" s="6">
        <v>42563</v>
      </c>
      <c r="G476" s="18">
        <v>42513</v>
      </c>
      <c r="I476" s="56"/>
      <c r="J476" s="56"/>
      <c r="K476" s="56"/>
    </row>
    <row r="477" ht="19.5" customHeight="1" spans="2:11">
      <c r="B477" s="17">
        <v>28</v>
      </c>
      <c r="C477" s="5" t="s">
        <v>431</v>
      </c>
      <c r="D477" s="3" t="s">
        <v>1882</v>
      </c>
      <c r="E477" s="3"/>
      <c r="F477" s="6">
        <v>42565</v>
      </c>
      <c r="G477" s="18">
        <v>42513</v>
      </c>
      <c r="I477" s="56"/>
      <c r="J477" s="56"/>
      <c r="K477" s="56"/>
    </row>
    <row r="478" ht="19.5" customHeight="1" spans="2:11">
      <c r="B478" s="17">
        <v>29</v>
      </c>
      <c r="C478" s="5" t="s">
        <v>2543</v>
      </c>
      <c r="D478" s="3" t="s">
        <v>1954</v>
      </c>
      <c r="E478" s="3"/>
      <c r="F478" s="6">
        <v>42565</v>
      </c>
      <c r="G478" s="18">
        <v>42513</v>
      </c>
      <c r="I478" s="56"/>
      <c r="J478" s="56"/>
      <c r="K478" s="56"/>
    </row>
    <row r="479" ht="19.5" customHeight="1" spans="2:11">
      <c r="B479" s="17">
        <v>30</v>
      </c>
      <c r="C479" s="5" t="s">
        <v>432</v>
      </c>
      <c r="D479" s="3" t="s">
        <v>1062</v>
      </c>
      <c r="E479" s="3"/>
      <c r="F479" s="6">
        <v>42565</v>
      </c>
      <c r="G479" s="18">
        <v>42513</v>
      </c>
      <c r="I479" s="56"/>
      <c r="J479" s="56"/>
      <c r="K479" s="56"/>
    </row>
    <row r="480" ht="19.5" customHeight="1" spans="2:11">
      <c r="B480" s="22"/>
      <c r="C480" s="23"/>
      <c r="D480" s="46"/>
      <c r="E480" s="46"/>
      <c r="F480" s="24"/>
      <c r="G480" s="18">
        <v>42513</v>
      </c>
      <c r="I480" s="56"/>
      <c r="J480" s="56"/>
      <c r="K480" s="56"/>
    </row>
    <row r="481" ht="19.5" customHeight="1" spans="2:11">
      <c r="G481" s="18">
        <v>42513</v>
      </c>
      <c r="I481" s="56"/>
      <c r="J481" s="56"/>
      <c r="K481" s="56"/>
    </row>
    <row r="482" ht="19.5" customHeight="1" spans="2:11">
      <c r="G482" s="18">
        <v>42513</v>
      </c>
      <c r="I482" s="56"/>
      <c r="J482" s="56"/>
      <c r="K482" s="56"/>
    </row>
    <row r="483" ht="19.5" customHeight="1" spans="2:11">
      <c r="G483" s="18">
        <v>42513</v>
      </c>
      <c r="I483" s="56"/>
      <c r="J483" s="56"/>
      <c r="K483" s="56"/>
    </row>
    <row r="484" ht="19.5" customHeight="1" spans="2:11">
      <c r="B484" s="47"/>
      <c r="C484" s="48"/>
      <c r="D484" s="71"/>
      <c r="E484" s="71"/>
      <c r="F484" s="72"/>
      <c r="G484" s="18">
        <v>42513</v>
      </c>
      <c r="I484" s="56"/>
      <c r="J484" s="56"/>
      <c r="K484" s="56"/>
    </row>
    <row r="485" ht="19.5" customHeight="1" spans="2:11">
      <c r="B485" s="10" t="s">
        <v>3479</v>
      </c>
      <c r="G485" s="18" t="s">
        <v>3532</v>
      </c>
      <c r="I485" s="56"/>
      <c r="J485" s="56"/>
      <c r="K485" s="56"/>
    </row>
    <row r="486" ht="19.5" customHeight="1" spans="2:11">
      <c r="B486" s="11">
        <v>42507</v>
      </c>
      <c r="G486" s="32">
        <v>42513</v>
      </c>
      <c r="I486" s="56"/>
      <c r="J486" s="56"/>
      <c r="K486" s="56"/>
    </row>
    <row r="487" ht="19.5" customHeight="1" spans="2:11">
      <c r="B487" s="12" t="s">
        <v>3480</v>
      </c>
      <c r="G487" s="18">
        <v>42513</v>
      </c>
    </row>
    <row r="488" ht="19.5" customHeight="1" spans="2:11">
      <c r="B488" s="70" t="s">
        <v>3481</v>
      </c>
      <c r="C488" s="14" t="s">
        <v>3</v>
      </c>
      <c r="D488" s="14" t="s">
        <v>3482</v>
      </c>
      <c r="E488" s="14" t="s">
        <v>3504</v>
      </c>
      <c r="F488" s="15" t="s">
        <v>745</v>
      </c>
      <c r="G488" s="58" t="s">
        <v>3532</v>
      </c>
    </row>
    <row r="489" ht="19.5" customHeight="1" spans="2:11">
      <c r="B489" s="17">
        <v>1</v>
      </c>
      <c r="C489" s="5" t="s">
        <v>305</v>
      </c>
      <c r="D489" s="41" t="s">
        <v>1398</v>
      </c>
      <c r="E489" s="41"/>
      <c r="F489" s="31">
        <v>42401</v>
      </c>
      <c r="G489" s="18">
        <v>42513</v>
      </c>
    </row>
    <row r="490" ht="19.5" customHeight="1" spans="2:11">
      <c r="B490" s="17">
        <v>2</v>
      </c>
      <c r="C490" s="5" t="s">
        <v>307</v>
      </c>
      <c r="D490" s="41" t="s">
        <v>3563</v>
      </c>
      <c r="E490" s="41"/>
      <c r="F490" s="31">
        <v>42418</v>
      </c>
      <c r="G490" s="18">
        <v>42513</v>
      </c>
    </row>
    <row r="491" ht="19.5" customHeight="1" spans="2:11">
      <c r="B491" s="17">
        <v>3</v>
      </c>
      <c r="C491" s="5" t="s">
        <v>306</v>
      </c>
      <c r="D491" s="41" t="s">
        <v>1146</v>
      </c>
      <c r="E491" s="41"/>
      <c r="F491" s="31">
        <v>42418</v>
      </c>
      <c r="G491" s="58"/>
    </row>
    <row r="492" ht="19.5" customHeight="1" spans="2:11">
      <c r="B492" s="17">
        <v>4</v>
      </c>
      <c r="C492" s="5" t="s">
        <v>3370</v>
      </c>
      <c r="D492" s="41" t="s">
        <v>3564</v>
      </c>
      <c r="E492" s="41"/>
      <c r="F492" s="31">
        <v>42430</v>
      </c>
      <c r="G492" s="58"/>
    </row>
    <row r="493" ht="19.5" customHeight="1" spans="2:11">
      <c r="B493" s="17">
        <v>5</v>
      </c>
      <c r="C493" s="5" t="s">
        <v>312</v>
      </c>
      <c r="D493" s="41" t="s">
        <v>3565</v>
      </c>
      <c r="E493" s="41"/>
      <c r="F493" s="31">
        <v>42430</v>
      </c>
      <c r="G493" s="44"/>
    </row>
    <row r="494" ht="19.5" customHeight="1" spans="2:11">
      <c r="B494" s="17">
        <v>6</v>
      </c>
      <c r="C494" s="5" t="s">
        <v>322</v>
      </c>
      <c r="D494" s="41" t="s">
        <v>3565</v>
      </c>
      <c r="E494" s="41"/>
      <c r="F494" s="31">
        <v>42436</v>
      </c>
    </row>
    <row r="495" ht="19.5" customHeight="1" spans="2:11">
      <c r="B495" s="17">
        <v>7</v>
      </c>
      <c r="C495" s="5" t="s">
        <v>2764</v>
      </c>
      <c r="D495" s="41" t="s">
        <v>1398</v>
      </c>
      <c r="E495" s="41"/>
      <c r="F495" s="31">
        <v>42450</v>
      </c>
      <c r="G495" s="45"/>
    </row>
    <row r="496" spans="2:11">
      <c r="B496" s="17">
        <v>8</v>
      </c>
      <c r="C496" s="5" t="s">
        <v>328</v>
      </c>
      <c r="D496" s="41" t="s">
        <v>3566</v>
      </c>
      <c r="E496" s="41"/>
      <c r="F496" s="31">
        <v>42450</v>
      </c>
      <c r="G496" s="45"/>
    </row>
    <row r="497" ht="19.5" customHeight="1" spans="2:13">
      <c r="B497" s="17">
        <v>9</v>
      </c>
      <c r="C497" s="5" t="s">
        <v>1945</v>
      </c>
      <c r="D497" s="41" t="s">
        <v>3567</v>
      </c>
      <c r="E497" s="41"/>
      <c r="F497" s="31">
        <v>42457</v>
      </c>
    </row>
    <row r="498" ht="19.5" customHeight="1" spans="2:13">
      <c r="B498" s="17">
        <v>10</v>
      </c>
      <c r="C498" s="5" t="s">
        <v>331</v>
      </c>
      <c r="D498" s="41" t="s">
        <v>1398</v>
      </c>
      <c r="E498" s="41"/>
      <c r="F498" s="31">
        <v>42457</v>
      </c>
    </row>
    <row r="499" ht="17.55" spans="2:13">
      <c r="B499" s="17">
        <v>11</v>
      </c>
      <c r="C499" s="5" t="s">
        <v>330</v>
      </c>
      <c r="D499" s="41" t="s">
        <v>1398</v>
      </c>
      <c r="E499" s="41"/>
      <c r="F499" s="31">
        <v>42457</v>
      </c>
    </row>
    <row r="500" spans="2:13">
      <c r="B500" s="17">
        <v>12</v>
      </c>
      <c r="C500" s="5" t="s">
        <v>337</v>
      </c>
      <c r="D500" s="41" t="s">
        <v>3565</v>
      </c>
      <c r="E500" s="41"/>
      <c r="F500" s="31">
        <v>42465</v>
      </c>
      <c r="G500" s="16" t="s">
        <v>3483</v>
      </c>
    </row>
    <row r="501" spans="2:13">
      <c r="B501" s="17">
        <v>13</v>
      </c>
      <c r="C501" s="5" t="s">
        <v>336</v>
      </c>
      <c r="D501" s="41" t="s">
        <v>3565</v>
      </c>
      <c r="E501" s="41"/>
      <c r="F501" s="31">
        <v>42465</v>
      </c>
      <c r="G501" s="18">
        <v>42509</v>
      </c>
    </row>
    <row r="502" spans="2:13">
      <c r="B502" s="17">
        <v>14</v>
      </c>
      <c r="C502" s="5" t="s">
        <v>3087</v>
      </c>
      <c r="D502" s="41" t="s">
        <v>1272</v>
      </c>
      <c r="E502" s="41"/>
      <c r="F502" s="31">
        <v>42465</v>
      </c>
      <c r="G502" s="32">
        <v>42509</v>
      </c>
    </row>
    <row r="503" ht="19.5" customHeight="1" spans="2:13">
      <c r="B503" s="17">
        <v>15</v>
      </c>
      <c r="C503" s="5" t="s">
        <v>266</v>
      </c>
      <c r="D503" s="41" t="s">
        <v>3563</v>
      </c>
      <c r="E503" s="41"/>
      <c r="F503" s="31">
        <v>42345</v>
      </c>
      <c r="G503" s="18">
        <v>42509</v>
      </c>
    </row>
    <row r="504" ht="19.5" customHeight="1" spans="2:13">
      <c r="B504" s="17">
        <v>16</v>
      </c>
      <c r="C504" s="5" t="s">
        <v>295</v>
      </c>
      <c r="D504" s="41" t="s">
        <v>3563</v>
      </c>
      <c r="E504" s="41"/>
      <c r="F504" s="31">
        <v>42367</v>
      </c>
      <c r="G504" s="18">
        <v>42509</v>
      </c>
    </row>
    <row r="505" ht="19.5" customHeight="1" spans="2:13">
      <c r="B505" s="17">
        <v>17</v>
      </c>
      <c r="C505" s="5" t="s">
        <v>275</v>
      </c>
      <c r="D505" s="41" t="s">
        <v>3563</v>
      </c>
      <c r="E505" s="41"/>
      <c r="F505" s="31">
        <v>42352</v>
      </c>
      <c r="G505" s="286" t="s">
        <v>3532</v>
      </c>
      <c r="I505" s="54" t="s">
        <v>3528</v>
      </c>
      <c r="J505" s="55" t="s">
        <v>3529</v>
      </c>
      <c r="K505" s="55" t="s">
        <v>3530</v>
      </c>
      <c r="M505" s="57"/>
    </row>
    <row r="506" ht="19.5" customHeight="1" spans="2:13">
      <c r="B506" s="17">
        <v>18</v>
      </c>
      <c r="C506" s="5" t="s">
        <v>280</v>
      </c>
      <c r="D506" s="41" t="s">
        <v>1272</v>
      </c>
      <c r="E506" s="41"/>
      <c r="F506" s="31">
        <v>42355</v>
      </c>
      <c r="G506" s="286" t="s">
        <v>3532</v>
      </c>
      <c r="I506" s="56" t="s">
        <v>3533</v>
      </c>
      <c r="J506" s="56"/>
      <c r="K506" s="56"/>
    </row>
    <row r="507" ht="19.5" customHeight="1" spans="2:13">
      <c r="B507" s="17">
        <v>2</v>
      </c>
      <c r="C507" s="5" t="s">
        <v>1975</v>
      </c>
      <c r="D507" s="41" t="s">
        <v>1252</v>
      </c>
      <c r="E507" s="41"/>
      <c r="F507" s="31">
        <v>42473</v>
      </c>
      <c r="G507" s="286" t="s">
        <v>3532</v>
      </c>
      <c r="I507" s="56" t="s">
        <v>3534</v>
      </c>
      <c r="J507" s="56"/>
      <c r="K507" s="56"/>
    </row>
    <row r="508" ht="19.5" customHeight="1" spans="2:13">
      <c r="B508" s="17">
        <v>13</v>
      </c>
      <c r="C508" s="5" t="s">
        <v>321</v>
      </c>
      <c r="D508" s="41" t="s">
        <v>1398</v>
      </c>
      <c r="E508" s="41"/>
      <c r="F508" s="31">
        <v>42436</v>
      </c>
      <c r="G508" s="18">
        <v>42509</v>
      </c>
      <c r="I508" s="56" t="s">
        <v>3558</v>
      </c>
      <c r="J508" s="56"/>
      <c r="K508" s="56"/>
    </row>
    <row r="509" ht="19.5" customHeight="1" spans="2:13">
      <c r="B509" s="22"/>
      <c r="C509" s="23"/>
      <c r="D509" s="46"/>
      <c r="E509" s="46"/>
      <c r="F509" s="24"/>
      <c r="G509" s="18">
        <v>42509</v>
      </c>
      <c r="I509" s="56" t="s">
        <v>3559</v>
      </c>
      <c r="J509" s="56"/>
      <c r="K509" s="56"/>
    </row>
    <row r="510" ht="19.5" customHeight="1" spans="2:13">
      <c r="G510" s="286" t="s">
        <v>3532</v>
      </c>
      <c r="I510" s="56"/>
      <c r="J510" s="56"/>
      <c r="K510" s="56"/>
    </row>
    <row r="511" ht="19.5" customHeight="1" spans="2:13">
      <c r="G511" s="18">
        <v>42509</v>
      </c>
      <c r="I511" s="56"/>
      <c r="J511" s="56"/>
      <c r="K511" s="56"/>
    </row>
    <row r="512" ht="19.5" customHeight="1" spans="2:13">
      <c r="G512" s="18">
        <v>42509</v>
      </c>
      <c r="I512" s="56"/>
      <c r="J512" s="56"/>
      <c r="K512" s="56"/>
    </row>
    <row r="513" ht="19.5" customHeight="1" spans="2:11">
      <c r="B513" s="47"/>
      <c r="C513" s="48"/>
      <c r="D513" s="71"/>
      <c r="E513" s="71"/>
      <c r="F513" s="72"/>
      <c r="G513" s="286" t="s">
        <v>3532</v>
      </c>
      <c r="I513" s="56"/>
      <c r="J513" s="56"/>
      <c r="K513" s="56"/>
    </row>
    <row r="514" ht="19.5" customHeight="1" spans="2:11">
      <c r="B514" s="47"/>
      <c r="C514" s="48"/>
      <c r="D514" s="71"/>
      <c r="E514" s="71"/>
      <c r="F514" s="72"/>
      <c r="G514" s="18">
        <v>42509</v>
      </c>
      <c r="I514" s="56"/>
      <c r="J514" s="56"/>
      <c r="K514" s="56"/>
    </row>
    <row r="515" ht="19.5" customHeight="1" spans="2:11">
      <c r="B515" s="10" t="s">
        <v>3479</v>
      </c>
      <c r="G515" s="18">
        <v>42509</v>
      </c>
      <c r="I515" s="56"/>
      <c r="J515" s="56"/>
      <c r="K515" s="56"/>
    </row>
    <row r="516" ht="19.5" customHeight="1" spans="2:11">
      <c r="B516" s="11">
        <v>42513</v>
      </c>
      <c r="G516" s="18"/>
      <c r="I516" s="56"/>
      <c r="J516" s="56"/>
      <c r="K516" s="56"/>
    </row>
    <row r="517" ht="19.5" customHeight="1" spans="2:11">
      <c r="B517" s="12" t="s">
        <v>3480</v>
      </c>
      <c r="G517" s="18"/>
      <c r="I517" s="56"/>
      <c r="J517" s="56"/>
      <c r="K517" s="56"/>
    </row>
    <row r="518" ht="19.5" customHeight="1" spans="2:11">
      <c r="B518" s="70" t="s">
        <v>3481</v>
      </c>
      <c r="C518" s="14" t="s">
        <v>3</v>
      </c>
      <c r="D518" s="14" t="s">
        <v>3482</v>
      </c>
      <c r="E518" s="14" t="s">
        <v>3504</v>
      </c>
      <c r="F518" s="15" t="s">
        <v>745</v>
      </c>
      <c r="G518" s="18"/>
      <c r="I518" s="56"/>
      <c r="J518" s="56"/>
      <c r="K518" s="56"/>
    </row>
    <row r="519" ht="19.5" customHeight="1" spans="2:11">
      <c r="B519" s="17">
        <v>1</v>
      </c>
      <c r="C519" s="5" t="s">
        <v>341</v>
      </c>
      <c r="D519" s="41" t="s">
        <v>1453</v>
      </c>
      <c r="E519" s="41"/>
      <c r="F519" s="31">
        <v>42471</v>
      </c>
      <c r="G519" s="18"/>
      <c r="I519" s="56"/>
      <c r="J519" s="56"/>
      <c r="K519" s="56"/>
    </row>
    <row r="520" ht="19.5" customHeight="1" spans="2:11">
      <c r="B520" s="17">
        <v>2</v>
      </c>
      <c r="C520" s="5" t="s">
        <v>343</v>
      </c>
      <c r="D520" s="41" t="s">
        <v>1252</v>
      </c>
      <c r="E520" s="41"/>
      <c r="F520" s="31">
        <v>42473</v>
      </c>
      <c r="G520" s="44"/>
      <c r="I520" s="56"/>
      <c r="J520" s="56"/>
      <c r="K520" s="56"/>
    </row>
    <row r="521" ht="19.5" customHeight="1" spans="2:11">
      <c r="B521" s="17">
        <v>3</v>
      </c>
      <c r="C521" s="5" t="s">
        <v>345</v>
      </c>
      <c r="D521" s="41" t="s">
        <v>1398</v>
      </c>
      <c r="E521" s="41"/>
      <c r="F521" s="31">
        <v>42474</v>
      </c>
      <c r="I521" s="56"/>
      <c r="J521" s="56"/>
      <c r="K521" s="56"/>
    </row>
    <row r="522" ht="19.5" customHeight="1" spans="2:11">
      <c r="B522" s="17">
        <v>4</v>
      </c>
      <c r="C522" s="5" t="s">
        <v>344</v>
      </c>
      <c r="D522" s="41" t="s">
        <v>3568</v>
      </c>
      <c r="E522" s="41"/>
      <c r="F522" s="31">
        <v>42474</v>
      </c>
    </row>
    <row r="523" ht="19.5" customHeight="1" spans="2:11">
      <c r="B523" s="17">
        <v>5</v>
      </c>
      <c r="C523" s="5" t="s">
        <v>346</v>
      </c>
      <c r="D523" s="41" t="s">
        <v>3569</v>
      </c>
      <c r="E523" s="41"/>
      <c r="F523" s="31">
        <v>42479</v>
      </c>
      <c r="G523" s="45"/>
    </row>
    <row r="524" spans="2:11">
      <c r="B524" s="17">
        <v>6</v>
      </c>
      <c r="C524" s="5" t="s">
        <v>2130</v>
      </c>
      <c r="D524" s="41" t="s">
        <v>3570</v>
      </c>
      <c r="E524" s="41"/>
      <c r="F524" s="31">
        <v>42486</v>
      </c>
      <c r="G524" s="45"/>
    </row>
    <row r="525" ht="19.5" customHeight="1" spans="2:11">
      <c r="B525" s="17">
        <v>7</v>
      </c>
      <c r="C525" s="5" t="s">
        <v>354</v>
      </c>
      <c r="D525" s="41" t="e">
        <f>VLOOKUP($C525,[3]INCUMBENT!$B$2:$F$222,3,0)</f>
        <v>#N/A</v>
      </c>
      <c r="E525" s="3"/>
      <c r="F525" s="31" t="e">
        <f>VLOOKUP($C525,[3]INCUMBENT!$B$2:$F$222,5,0)</f>
        <v>#N/A</v>
      </c>
      <c r="G525" s="45"/>
    </row>
    <row r="526" ht="19.5" customHeight="1" spans="2:11">
      <c r="B526" s="17">
        <v>8</v>
      </c>
      <c r="C526" s="5" t="s">
        <v>356</v>
      </c>
      <c r="D526" s="41" t="e">
        <f>VLOOKUP($C526,[3]INCUMBENT!$B$2:$F$222,3,0)</f>
        <v>#N/A</v>
      </c>
      <c r="E526" s="3"/>
      <c r="F526" s="31" t="e">
        <f>VLOOKUP($C526,[3]INCUMBENT!$B$2:$F$222,5,0)</f>
        <v>#N/A</v>
      </c>
    </row>
    <row r="527" ht="19.5" customHeight="1" spans="2:11">
      <c r="B527" s="17">
        <v>9</v>
      </c>
      <c r="C527" s="5" t="s">
        <v>361</v>
      </c>
      <c r="D527" s="41" t="e">
        <f>VLOOKUP($C527,[3]INCUMBENT!$B$2:$F$222,3,0)</f>
        <v>#N/A</v>
      </c>
      <c r="E527" s="3"/>
      <c r="F527" s="31" t="e">
        <f>VLOOKUP($C527,[3]INCUMBENT!$B$2:$F$222,5,0)</f>
        <v>#N/A</v>
      </c>
    </row>
    <row r="528" ht="17.55" spans="2:11">
      <c r="B528" s="17">
        <v>10</v>
      </c>
      <c r="C528" s="5" t="s">
        <v>363</v>
      </c>
      <c r="D528" s="41" t="e">
        <f>VLOOKUP($C528,[3]INCUMBENT!$B$2:$F$222,3,0)</f>
        <v>#N/A</v>
      </c>
      <c r="E528" s="3"/>
      <c r="F528" s="31" t="e">
        <f>VLOOKUP($C528,[3]INCUMBENT!$B$2:$F$222,5,0)</f>
        <v>#N/A</v>
      </c>
    </row>
    <row r="529" spans="2:11">
      <c r="B529" s="17">
        <v>11</v>
      </c>
      <c r="C529" s="5" t="s">
        <v>372</v>
      </c>
      <c r="D529" s="41" t="e">
        <f>VLOOKUP($C529,[3]INCUMBENT!$B$2:$F$222,3,0)</f>
        <v>#N/A</v>
      </c>
      <c r="E529" s="3"/>
      <c r="F529" s="31" t="e">
        <f>VLOOKUP($C529,[3]INCUMBENT!$B$2:$F$222,5,0)</f>
        <v>#N/A</v>
      </c>
      <c r="G529" s="16" t="s">
        <v>3483</v>
      </c>
    </row>
    <row r="530" spans="2:11">
      <c r="B530" s="17">
        <v>12</v>
      </c>
      <c r="C530" s="5" t="s">
        <v>2324</v>
      </c>
      <c r="D530" s="41" t="s">
        <v>3570</v>
      </c>
      <c r="E530" s="41"/>
      <c r="F530" s="31">
        <v>42422</v>
      </c>
      <c r="G530" s="32"/>
    </row>
    <row r="531" spans="2:11">
      <c r="B531" s="17">
        <v>13</v>
      </c>
      <c r="C531" s="5" t="s">
        <v>298</v>
      </c>
      <c r="D531" s="41" t="s">
        <v>3567</v>
      </c>
      <c r="E531" s="41"/>
      <c r="F531" s="31">
        <v>42373</v>
      </c>
      <c r="G531" s="32"/>
    </row>
    <row r="532" ht="19.5" customHeight="1" spans="2:11">
      <c r="B532" s="17">
        <v>14</v>
      </c>
      <c r="C532" s="5" t="s">
        <v>307</v>
      </c>
      <c r="D532" s="41" t="s">
        <v>3563</v>
      </c>
      <c r="E532" s="41"/>
      <c r="F532" s="31">
        <v>42418</v>
      </c>
      <c r="G532" s="32"/>
    </row>
    <row r="533" ht="19.5" customHeight="1" spans="2:11">
      <c r="B533" s="17">
        <v>15</v>
      </c>
      <c r="C533" s="5" t="s">
        <v>306</v>
      </c>
      <c r="D533" s="41" t="s">
        <v>1146</v>
      </c>
      <c r="E533" s="41"/>
      <c r="F533" s="31">
        <v>42418</v>
      </c>
      <c r="G533" s="32"/>
    </row>
    <row r="534" ht="19.5" customHeight="1" spans="2:11">
      <c r="B534" s="17">
        <v>16</v>
      </c>
      <c r="C534" s="5" t="s">
        <v>280</v>
      </c>
      <c r="D534" s="41" t="s">
        <v>1272</v>
      </c>
      <c r="E534" s="41"/>
      <c r="F534" s="31">
        <v>42355</v>
      </c>
      <c r="G534" s="32"/>
    </row>
    <row r="535" ht="19.5" customHeight="1" spans="2:11">
      <c r="B535" s="17">
        <v>17</v>
      </c>
      <c r="C535" s="5" t="s">
        <v>375</v>
      </c>
      <c r="D535" s="41" t="s">
        <v>1272</v>
      </c>
      <c r="E535" s="41"/>
      <c r="F535" s="31">
        <v>42356</v>
      </c>
      <c r="G535" s="32"/>
    </row>
    <row r="536" ht="19.5" customHeight="1" spans="2:11">
      <c r="B536" s="17">
        <v>18</v>
      </c>
      <c r="C536" s="5" t="s">
        <v>377</v>
      </c>
      <c r="D536" s="41" t="s">
        <v>1272</v>
      </c>
      <c r="E536" s="41"/>
      <c r="F536" s="31">
        <v>42357</v>
      </c>
      <c r="G536" s="32"/>
    </row>
    <row r="537" ht="19.5" customHeight="1" spans="2:11">
      <c r="B537" s="17"/>
      <c r="C537" s="5"/>
      <c r="D537" s="41"/>
      <c r="E537" s="41"/>
      <c r="F537" s="31"/>
      <c r="G537" s="18"/>
    </row>
    <row r="538" ht="19.5" customHeight="1" spans="2:11">
      <c r="B538" s="17"/>
      <c r="C538" s="5"/>
      <c r="D538" s="41"/>
      <c r="E538" s="41"/>
      <c r="F538" s="31"/>
      <c r="G538" s="18"/>
    </row>
    <row r="539" ht="19.5" customHeight="1" spans="2:11">
      <c r="B539" s="22"/>
      <c r="C539" s="23"/>
      <c r="D539" s="46"/>
      <c r="E539" s="46"/>
      <c r="F539" s="24"/>
      <c r="G539" s="18"/>
      <c r="I539" s="56"/>
      <c r="J539" s="56"/>
      <c r="K539" s="56"/>
    </row>
    <row r="540" ht="19.5" customHeight="1" spans="2:11">
      <c r="B540" s="11"/>
      <c r="G540" s="18"/>
      <c r="I540" s="56"/>
      <c r="J540" s="56"/>
      <c r="K540" s="56"/>
    </row>
    <row r="541" ht="19.5" customHeight="1" spans="2:11">
      <c r="B541" s="47"/>
      <c r="C541" s="48"/>
      <c r="D541" s="71"/>
      <c r="E541" s="71"/>
      <c r="F541" s="72"/>
      <c r="G541" s="18"/>
      <c r="I541" s="56"/>
      <c r="J541" s="56"/>
      <c r="K541" s="56"/>
    </row>
    <row r="542" ht="19.5" customHeight="1" spans="2:11">
      <c r="B542" s="47"/>
      <c r="C542" s="48"/>
      <c r="D542" s="71"/>
      <c r="E542" s="71"/>
      <c r="F542" s="72"/>
      <c r="G542" s="18"/>
      <c r="I542" s="56"/>
      <c r="J542" s="56"/>
      <c r="K542" s="56"/>
    </row>
    <row r="543" ht="19.5" customHeight="1" spans="2:11">
      <c r="B543" s="10" t="s">
        <v>3479</v>
      </c>
      <c r="G543" s="18"/>
      <c r="I543" s="56"/>
      <c r="J543" s="56"/>
      <c r="K543" s="56"/>
    </row>
    <row r="544" ht="19.5" customHeight="1" spans="2:11">
      <c r="B544" s="11">
        <v>42509</v>
      </c>
      <c r="G544" s="18"/>
      <c r="I544" s="56"/>
      <c r="J544" s="56"/>
      <c r="K544" s="56"/>
    </row>
    <row r="545" ht="19.5" customHeight="1" spans="2:11">
      <c r="B545" s="12" t="s">
        <v>27</v>
      </c>
      <c r="G545" s="18"/>
      <c r="I545" s="56"/>
      <c r="J545" s="56"/>
      <c r="K545" s="56"/>
    </row>
    <row r="546" ht="19.5" customHeight="1" spans="2:11">
      <c r="B546" s="70" t="s">
        <v>3481</v>
      </c>
      <c r="C546" s="14" t="s">
        <v>3</v>
      </c>
      <c r="D546" s="14" t="s">
        <v>3482</v>
      </c>
      <c r="E546" s="14" t="s">
        <v>3504</v>
      </c>
      <c r="F546" s="15" t="s">
        <v>745</v>
      </c>
      <c r="G546" s="18"/>
      <c r="I546" s="56"/>
      <c r="J546" s="56"/>
      <c r="K546" s="56"/>
    </row>
    <row r="547" ht="19.5" customHeight="1" spans="2:11">
      <c r="B547" s="17">
        <v>1</v>
      </c>
      <c r="C547" s="5" t="s">
        <v>270</v>
      </c>
      <c r="D547" s="41" t="e">
        <f>VLOOKUP($C547,[3]INCUMBENT!$B$2:$F$222,3,0)</f>
        <v>#N/A</v>
      </c>
      <c r="E547" s="3"/>
      <c r="F547" s="31" t="e">
        <f>VLOOKUP($C547,[3]INCUMBENT!$B$2:$F$222,5,0)</f>
        <v>#N/A</v>
      </c>
      <c r="G547" s="18"/>
      <c r="I547" s="56"/>
      <c r="J547" s="56"/>
      <c r="K547" s="56"/>
    </row>
    <row r="548" ht="19.5" customHeight="1" spans="2:11">
      <c r="B548" s="17">
        <v>2</v>
      </c>
      <c r="C548" s="5" t="s">
        <v>279</v>
      </c>
      <c r="D548" s="41" t="e">
        <f>VLOOKUP($C548,[3]INCUMBENT!$B$2:$F$222,3,0)</f>
        <v>#N/A</v>
      </c>
      <c r="E548" s="3"/>
      <c r="F548" s="31" t="e">
        <f>VLOOKUP($C548,[3]INCUMBENT!$B$2:$F$222,5,0)</f>
        <v>#N/A</v>
      </c>
      <c r="G548" s="18"/>
      <c r="I548" s="56"/>
      <c r="J548" s="56"/>
      <c r="K548" s="56"/>
    </row>
    <row r="549" ht="19.5" customHeight="1" spans="2:11">
      <c r="B549" s="17">
        <v>3</v>
      </c>
      <c r="C549" s="5" t="s">
        <v>296</v>
      </c>
      <c r="D549" s="41" t="e">
        <f>VLOOKUP($C549,[3]INCUMBENT!$B$2:$F$222,3,0)</f>
        <v>#N/A</v>
      </c>
      <c r="E549" s="3"/>
      <c r="F549" s="31" t="e">
        <f>VLOOKUP($C549,[3]INCUMBENT!$B$2:$F$222,5,0)</f>
        <v>#N/A</v>
      </c>
      <c r="G549" s="18"/>
      <c r="I549" s="56"/>
      <c r="J549" s="56"/>
      <c r="K549" s="56"/>
    </row>
    <row r="550" ht="19.5" customHeight="1" spans="2:11">
      <c r="B550" s="17">
        <v>4</v>
      </c>
      <c r="C550" s="5" t="s">
        <v>1808</v>
      </c>
      <c r="D550" s="41" t="e">
        <f>VLOOKUP($C550,[3]INCUMBENT!$B$2:$F$222,3,0)</f>
        <v>#N/A</v>
      </c>
      <c r="E550" s="3"/>
      <c r="F550" s="31" t="e">
        <f>VLOOKUP($C550,[3]INCUMBENT!$B$2:$F$222,5,0)</f>
        <v>#N/A</v>
      </c>
      <c r="G550" s="18"/>
      <c r="I550" s="56"/>
      <c r="J550" s="56"/>
      <c r="K550" s="56"/>
    </row>
    <row r="551" ht="19.5" customHeight="1" spans="2:11">
      <c r="B551" s="17">
        <v>5</v>
      </c>
      <c r="C551" s="5" t="s">
        <v>1915</v>
      </c>
      <c r="D551" s="41" t="e">
        <f>VLOOKUP($C551,[3]INCUMBENT!$B$2:$F$222,3,0)</f>
        <v>#N/A</v>
      </c>
      <c r="E551" s="3"/>
      <c r="F551" s="31" t="e">
        <f>VLOOKUP($C551,[3]INCUMBENT!$B$2:$F$222,5,0)</f>
        <v>#N/A</v>
      </c>
      <c r="G551" s="18"/>
      <c r="I551" s="56"/>
      <c r="J551" s="56"/>
      <c r="K551" s="56"/>
    </row>
    <row r="552" ht="19.5" customHeight="1" spans="2:11">
      <c r="B552" s="17">
        <v>6</v>
      </c>
      <c r="C552" s="5" t="s">
        <v>2019</v>
      </c>
      <c r="D552" s="41" t="e">
        <f>VLOOKUP($C552,[3]INCUMBENT!$B$2:$F$222,3,0)</f>
        <v>#N/A</v>
      </c>
      <c r="E552" s="3"/>
      <c r="F552" s="31" t="e">
        <f>VLOOKUP($C552,[3]INCUMBENT!$B$2:$F$222,5,0)</f>
        <v>#N/A</v>
      </c>
      <c r="G552" s="32"/>
      <c r="I552" s="56"/>
      <c r="J552" s="56"/>
      <c r="K552" s="56"/>
    </row>
    <row r="553" ht="19.5" customHeight="1" spans="2:11">
      <c r="B553" s="17">
        <v>7</v>
      </c>
      <c r="C553" s="5" t="s">
        <v>2076</v>
      </c>
      <c r="D553" s="41" t="e">
        <f>VLOOKUP($C553,[3]INCUMBENT!$B$2:$F$222,3,0)</f>
        <v>#N/A</v>
      </c>
      <c r="E553" s="3"/>
      <c r="F553" s="31" t="e">
        <f>VLOOKUP($C553,[3]INCUMBENT!$B$2:$F$222,5,0)</f>
        <v>#N/A</v>
      </c>
      <c r="G553" s="45"/>
      <c r="I553" s="56"/>
      <c r="J553" s="56"/>
      <c r="K553" s="56"/>
    </row>
    <row r="554" ht="19.5" customHeight="1" spans="2:11">
      <c r="B554" s="17">
        <v>8</v>
      </c>
      <c r="C554" s="5" t="s">
        <v>1660</v>
      </c>
      <c r="D554" s="41" t="e">
        <f>VLOOKUP($C554,[3]INCUMBENT!$B$2:$F$222,3,0)</f>
        <v>#N/A</v>
      </c>
      <c r="E554" s="3"/>
      <c r="F554" s="31" t="e">
        <f>VLOOKUP($C554,[3]INCUMBENT!$B$2:$F$222,5,0)</f>
        <v>#N/A</v>
      </c>
    </row>
    <row r="555" ht="19.5" customHeight="1" spans="2:11">
      <c r="B555" s="17">
        <v>9</v>
      </c>
      <c r="C555" s="5" t="s">
        <v>2693</v>
      </c>
      <c r="D555" s="41" t="e">
        <f>VLOOKUP($C555,[3]INCUMBENT!$B$2:$F$222,3,0)</f>
        <v>#N/A</v>
      </c>
      <c r="E555" s="3"/>
      <c r="F555" s="31" t="e">
        <f>VLOOKUP($C555,[3]INCUMBENT!$B$2:$F$222,5,0)</f>
        <v>#N/A</v>
      </c>
    </row>
    <row r="556" ht="17.55" spans="2:11">
      <c r="B556" s="17">
        <v>10</v>
      </c>
      <c r="C556" s="5" t="s">
        <v>334</v>
      </c>
      <c r="D556" s="41" t="e">
        <f>VLOOKUP($C556,[3]INCUMBENT!$B$2:$F$222,3,0)</f>
        <v>#N/A</v>
      </c>
      <c r="E556" s="3"/>
      <c r="F556" s="31" t="e">
        <f>VLOOKUP($C556,[3]INCUMBENT!$B$2:$F$222,5,0)</f>
        <v>#N/A</v>
      </c>
    </row>
    <row r="557" spans="2:11">
      <c r="B557" s="17">
        <v>11</v>
      </c>
      <c r="C557" s="5" t="s">
        <v>1652</v>
      </c>
      <c r="D557" s="41" t="e">
        <f>VLOOKUP($C557,[3]INCUMBENT!$B$2:$F$222,3,0)</f>
        <v>#N/A</v>
      </c>
      <c r="E557" s="3"/>
      <c r="F557" s="31" t="e">
        <f>VLOOKUP($C557,[3]INCUMBENT!$B$2:$F$222,5,0)</f>
        <v>#N/A</v>
      </c>
      <c r="G557" s="16" t="s">
        <v>3483</v>
      </c>
    </row>
    <row r="558" spans="2:11">
      <c r="B558" s="17">
        <v>12</v>
      </c>
      <c r="C558" s="5" t="s">
        <v>338</v>
      </c>
      <c r="D558" s="41" t="e">
        <f>VLOOKUP($C558,[3]INCUMBENT!$B$2:$F$222,3,0)</f>
        <v>#N/A</v>
      </c>
      <c r="E558" s="3"/>
      <c r="F558" s="31" t="e">
        <f>VLOOKUP($C558,[3]INCUMBENT!$B$2:$F$222,5,0)</f>
        <v>#N/A</v>
      </c>
      <c r="G558" s="32"/>
    </row>
    <row r="559" spans="2:11">
      <c r="B559" s="17">
        <v>13</v>
      </c>
      <c r="C559" s="5" t="s">
        <v>349</v>
      </c>
      <c r="D559" s="41" t="e">
        <f>VLOOKUP($C559,[3]INCUMBENT!$B$2:$F$222,3,0)</f>
        <v>#N/A</v>
      </c>
      <c r="E559" s="3"/>
      <c r="F559" s="31" t="e">
        <f>VLOOKUP($C559,[3]INCUMBENT!$B$2:$F$222,5,0)</f>
        <v>#N/A</v>
      </c>
      <c r="G559" s="18"/>
    </row>
    <row r="560" ht="19.5" customHeight="1" spans="2:11">
      <c r="B560" s="17">
        <v>14</v>
      </c>
      <c r="C560" s="5" t="s">
        <v>2471</v>
      </c>
      <c r="D560" s="41" t="e">
        <f>VLOOKUP($C560,[3]INCUMBENT!$B$2:$F$222,3,0)</f>
        <v>#N/A</v>
      </c>
      <c r="E560" s="3"/>
      <c r="F560" s="31" t="e">
        <f>VLOOKUP($C560,[3]INCUMBENT!$B$2:$F$222,5,0)</f>
        <v>#N/A</v>
      </c>
      <c r="G560" s="18"/>
    </row>
    <row r="561" ht="19.5" customHeight="1" spans="2:13">
      <c r="B561" s="17">
        <v>15</v>
      </c>
      <c r="C561" s="5" t="s">
        <v>373</v>
      </c>
      <c r="D561" s="41" t="e">
        <f>VLOOKUP($C561,[3]INCUMBENT!$B$2:$F$222,3,0)</f>
        <v>#N/A</v>
      </c>
      <c r="E561" s="3"/>
      <c r="F561" s="31" t="e">
        <f>VLOOKUP($C561,[3]INCUMBENT!$B$2:$F$222,5,0)</f>
        <v>#N/A</v>
      </c>
      <c r="G561" s="32"/>
    </row>
    <row r="562" ht="19.5" customHeight="1" spans="2:13">
      <c r="B562" s="17"/>
      <c r="C562" s="5"/>
      <c r="D562" s="41"/>
      <c r="E562" s="3"/>
      <c r="F562" s="31"/>
      <c r="G562" s="18"/>
    </row>
    <row r="563" ht="19.5" customHeight="1" spans="2:13">
      <c r="B563" s="17"/>
      <c r="C563" s="5"/>
      <c r="D563" s="41"/>
      <c r="E563" s="3"/>
      <c r="F563" s="31"/>
      <c r="G563" s="18"/>
    </row>
    <row r="564" ht="19.5" customHeight="1" spans="2:13">
      <c r="B564" s="17"/>
      <c r="C564" s="5"/>
      <c r="D564" s="41"/>
      <c r="E564" s="3"/>
      <c r="F564" s="31"/>
      <c r="G564" s="18"/>
      <c r="I564" s="54" t="s">
        <v>3528</v>
      </c>
      <c r="J564" s="55" t="s">
        <v>3529</v>
      </c>
      <c r="K564" s="55" t="s">
        <v>3530</v>
      </c>
      <c r="M564" s="57"/>
    </row>
    <row r="565" ht="19.5" customHeight="1" spans="2:13">
      <c r="B565" s="17"/>
      <c r="C565" s="5"/>
      <c r="D565" s="41"/>
      <c r="E565" s="41"/>
      <c r="F565" s="31"/>
      <c r="G565" s="18"/>
      <c r="I565" s="56" t="s">
        <v>3533</v>
      </c>
      <c r="J565" s="56"/>
      <c r="K565" s="56"/>
    </row>
    <row r="566" ht="19.5" customHeight="1" spans="2:13">
      <c r="B566" s="22"/>
      <c r="C566" s="23"/>
      <c r="D566" s="46"/>
      <c r="E566" s="46"/>
      <c r="F566" s="24"/>
      <c r="G566" s="18"/>
      <c r="I566" s="56" t="s">
        <v>3534</v>
      </c>
      <c r="J566" s="56"/>
      <c r="K566" s="56"/>
    </row>
    <row r="567" ht="19.5" customHeight="1" spans="2:13">
      <c r="G567" s="44"/>
      <c r="I567" s="56" t="s">
        <v>3558</v>
      </c>
      <c r="J567" s="56"/>
      <c r="K567" s="56"/>
    </row>
    <row r="568" ht="19.5" customHeight="1" spans="2:13">
      <c r="B568" s="11"/>
      <c r="I568" s="56" t="s">
        <v>3559</v>
      </c>
      <c r="J568" s="56"/>
      <c r="K568" s="56"/>
    </row>
    <row r="569" ht="19.5" customHeight="1" spans="2:13">
      <c r="B569" s="47"/>
      <c r="C569" s="48"/>
      <c r="D569" s="71"/>
      <c r="E569" s="71"/>
      <c r="F569" s="72"/>
      <c r="I569" s="56"/>
      <c r="J569" s="56"/>
      <c r="K569" s="56"/>
    </row>
    <row r="570" ht="19.5" customHeight="1" spans="2:13">
      <c r="B570" s="47"/>
      <c r="C570" s="48"/>
      <c r="D570" s="71"/>
      <c r="E570" s="71"/>
      <c r="F570" s="72"/>
    </row>
    <row r="571" ht="19.5" customHeight="1" spans="2:13">
      <c r="B571" s="47"/>
      <c r="C571" s="48"/>
      <c r="D571" s="71"/>
      <c r="E571" s="71"/>
      <c r="F571" s="72"/>
      <c r="G571" s="45"/>
    </row>
    <row r="572" ht="20.4" spans="2:13">
      <c r="B572" s="10" t="s">
        <v>3479</v>
      </c>
      <c r="G572" s="45"/>
    </row>
    <row r="573" ht="19.5" customHeight="1" spans="2:13">
      <c r="B573" s="11">
        <v>42509</v>
      </c>
    </row>
    <row r="574" ht="19.5" customHeight="1" spans="2:13">
      <c r="B574" s="12" t="s">
        <v>27</v>
      </c>
    </row>
    <row r="575" spans="2:13">
      <c r="B575" s="70" t="s">
        <v>3481</v>
      </c>
      <c r="C575" s="14" t="s">
        <v>3</v>
      </c>
      <c r="D575" s="14" t="s">
        <v>3482</v>
      </c>
      <c r="E575" s="14" t="s">
        <v>3504</v>
      </c>
      <c r="F575" s="15" t="s">
        <v>745</v>
      </c>
      <c r="G575" s="16" t="s">
        <v>3483</v>
      </c>
    </row>
    <row r="576" spans="2:13">
      <c r="B576" s="17">
        <v>1</v>
      </c>
      <c r="C576" s="74" t="s">
        <v>2102</v>
      </c>
      <c r="D576" s="41" t="e">
        <f>VLOOKUP($C576,[3]INCUMBENT!$B$2:$F$222,3,0)</f>
        <v>#N/A</v>
      </c>
      <c r="E576" s="3"/>
      <c r="F576" s="31" t="e">
        <f>VLOOKUP($C576,[3]INCUMBENT!$B$2:$F$222,5,0)</f>
        <v>#N/A</v>
      </c>
      <c r="G576" s="32">
        <v>42397</v>
      </c>
    </row>
    <row r="577" spans="2:13">
      <c r="B577" s="17">
        <v>2</v>
      </c>
      <c r="C577" s="74" t="s">
        <v>1890</v>
      </c>
      <c r="D577" s="41" t="e">
        <f>VLOOKUP($C577,[3]INCUMBENT!$B$2:$F$222,3,0)</f>
        <v>#N/A</v>
      </c>
      <c r="E577" s="3"/>
      <c r="F577" s="31" t="e">
        <f>VLOOKUP($C577,[3]INCUMBENT!$B$2:$F$222,5,0)</f>
        <v>#N/A</v>
      </c>
      <c r="G577" s="32">
        <v>42397</v>
      </c>
    </row>
    <row r="578" ht="19.5" customHeight="1" spans="2:13">
      <c r="B578" s="17">
        <v>3</v>
      </c>
      <c r="C578" s="74" t="s">
        <v>2002</v>
      </c>
      <c r="D578" s="41" t="e">
        <f>VLOOKUP($C578,[3]INCUMBENT!$B$2:$F$222,3,0)</f>
        <v>#N/A</v>
      </c>
      <c r="E578" s="3"/>
      <c r="F578" s="31" t="e">
        <f>VLOOKUP($C578,[3]INCUMBENT!$B$2:$F$222,5,0)</f>
        <v>#N/A</v>
      </c>
      <c r="G578" s="18">
        <v>42397</v>
      </c>
    </row>
    <row r="579" ht="19.5" customHeight="1" spans="2:13">
      <c r="B579" s="17">
        <v>4</v>
      </c>
      <c r="C579" s="74" t="s">
        <v>319</v>
      </c>
      <c r="D579" s="41" t="e">
        <f>VLOOKUP($C579,[3]INCUMBENT!$B$2:$F$222,3,0)</f>
        <v>#N/A</v>
      </c>
      <c r="E579" s="3"/>
      <c r="F579" s="31" t="e">
        <f>VLOOKUP($C579,[3]INCUMBENT!$B$2:$F$222,5,0)</f>
        <v>#N/A</v>
      </c>
      <c r="G579" s="18">
        <v>42397</v>
      </c>
    </row>
    <row r="580" ht="19.5" customHeight="1" spans="2:13">
      <c r="B580" s="17">
        <v>5</v>
      </c>
      <c r="C580" s="74" t="s">
        <v>2051</v>
      </c>
      <c r="D580" s="41" t="e">
        <f>VLOOKUP($C580,[3]INCUMBENT!$B$2:$F$222,3,0)</f>
        <v>#N/A</v>
      </c>
      <c r="E580" s="3"/>
      <c r="F580" s="31" t="e">
        <f>VLOOKUP($C580,[3]INCUMBENT!$B$2:$F$222,5,0)</f>
        <v>#N/A</v>
      </c>
      <c r="G580" s="32">
        <v>42397</v>
      </c>
    </row>
    <row r="581" ht="19.5" customHeight="1" spans="2:13">
      <c r="B581" s="17">
        <v>6</v>
      </c>
      <c r="C581" s="74" t="s">
        <v>2700</v>
      </c>
      <c r="D581" s="41" t="e">
        <f>VLOOKUP($C581,[3]INCUMBENT!$B$2:$F$222,3,0)</f>
        <v>#N/A</v>
      </c>
      <c r="E581" s="3"/>
      <c r="F581" s="31" t="e">
        <f>VLOOKUP($C581,[3]INCUMBENT!$B$2:$F$222,5,0)</f>
        <v>#N/A</v>
      </c>
      <c r="G581" s="18">
        <v>42397</v>
      </c>
    </row>
    <row r="582" ht="19.5" customHeight="1" spans="2:13">
      <c r="B582" s="17">
        <v>7</v>
      </c>
      <c r="C582" s="74" t="s">
        <v>1848</v>
      </c>
      <c r="D582" s="41" t="e">
        <f>VLOOKUP($C582,[3]INCUMBENT!$B$2:$F$222,3,0)</f>
        <v>#N/A</v>
      </c>
      <c r="E582" s="3"/>
      <c r="F582" s="31" t="e">
        <f>VLOOKUP($C582,[3]INCUMBENT!$B$2:$F$222,5,0)</f>
        <v>#N/A</v>
      </c>
      <c r="G582" s="18">
        <v>42397</v>
      </c>
    </row>
    <row r="583" ht="19.5" customHeight="1" spans="2:13">
      <c r="B583" s="17">
        <v>8</v>
      </c>
      <c r="C583" s="74" t="s">
        <v>1644</v>
      </c>
      <c r="D583" s="41" t="e">
        <f>VLOOKUP($C583,[3]INCUMBENT!$B$2:$F$222,3,0)</f>
        <v>#N/A</v>
      </c>
      <c r="E583" s="3"/>
      <c r="F583" s="31" t="e">
        <f>VLOOKUP($C583,[3]INCUMBENT!$B$2:$F$222,5,0)</f>
        <v>#N/A</v>
      </c>
      <c r="G583" s="18">
        <v>42397</v>
      </c>
      <c r="I583" s="54" t="s">
        <v>3528</v>
      </c>
      <c r="J583" s="55" t="s">
        <v>3529</v>
      </c>
      <c r="K583" s="55" t="s">
        <v>3530</v>
      </c>
      <c r="M583" s="57"/>
    </row>
    <row r="584" ht="19.5" customHeight="1" spans="2:13">
      <c r="B584" s="17">
        <v>9</v>
      </c>
      <c r="C584" s="74" t="s">
        <v>2028</v>
      </c>
      <c r="D584" s="41" t="e">
        <f>VLOOKUP($C584,[3]INCUMBENT!$B$2:$F$222,3,0)</f>
        <v>#N/A</v>
      </c>
      <c r="E584" s="3"/>
      <c r="F584" s="31" t="e">
        <f>VLOOKUP($C584,[3]INCUMBENT!$B$2:$F$222,5,0)</f>
        <v>#N/A</v>
      </c>
      <c r="G584" s="18">
        <v>42397</v>
      </c>
      <c r="I584" s="56" t="s">
        <v>3533</v>
      </c>
      <c r="J584" s="56"/>
      <c r="K584" s="56"/>
    </row>
    <row r="585" ht="19.5" customHeight="1" spans="2:13">
      <c r="B585" s="17">
        <v>10</v>
      </c>
      <c r="C585" s="74" t="s">
        <v>2037</v>
      </c>
      <c r="D585" s="41" t="e">
        <f>VLOOKUP($C585,[3]INCUMBENT!$B$2:$F$222,3,0)</f>
        <v>#N/A</v>
      </c>
      <c r="E585" s="3"/>
      <c r="F585" s="31" t="e">
        <f>VLOOKUP($C585,[3]INCUMBENT!$B$2:$F$222,5,0)</f>
        <v>#N/A</v>
      </c>
      <c r="G585" s="18">
        <v>42397</v>
      </c>
      <c r="I585" s="56" t="s">
        <v>3534</v>
      </c>
      <c r="J585" s="56"/>
      <c r="K585" s="56"/>
    </row>
    <row r="586" ht="19.5" customHeight="1" spans="2:13">
      <c r="B586" s="17">
        <v>11</v>
      </c>
      <c r="C586" s="74" t="s">
        <v>2044</v>
      </c>
      <c r="D586" s="41" t="e">
        <f>VLOOKUP($C586,[3]INCUMBENT!$B$2:$F$222,3,0)</f>
        <v>#N/A</v>
      </c>
      <c r="E586" s="3"/>
      <c r="F586" s="31" t="e">
        <f>VLOOKUP($C586,[3]INCUMBENT!$B$2:$F$222,5,0)</f>
        <v>#N/A</v>
      </c>
      <c r="G586" s="32">
        <v>42397</v>
      </c>
      <c r="I586" s="56" t="s">
        <v>3558</v>
      </c>
      <c r="J586" s="56"/>
      <c r="K586" s="56"/>
    </row>
    <row r="587" ht="19.5" customHeight="1" spans="2:13">
      <c r="B587" s="17">
        <v>12</v>
      </c>
      <c r="C587" s="74" t="s">
        <v>367</v>
      </c>
      <c r="D587" s="41" t="e">
        <f>VLOOKUP($C587,[3]INCUMBENT!$B$2:$F$222,3,0)</f>
        <v>#N/A</v>
      </c>
      <c r="E587" s="3"/>
      <c r="F587" s="31" t="e">
        <f>VLOOKUP($C587,[3]INCUMBENT!$B$2:$F$222,5,0)</f>
        <v>#N/A</v>
      </c>
      <c r="G587" s="18">
        <v>42397</v>
      </c>
      <c r="I587" s="56" t="s">
        <v>3559</v>
      </c>
      <c r="J587" s="56"/>
      <c r="K587" s="56"/>
    </row>
    <row r="588" ht="19.5" customHeight="1" spans="2:13">
      <c r="B588" s="17">
        <v>13</v>
      </c>
      <c r="C588" s="5" t="s">
        <v>1915</v>
      </c>
      <c r="D588" s="75" t="s">
        <v>1882</v>
      </c>
      <c r="E588" s="76"/>
      <c r="F588" s="77">
        <v>42419</v>
      </c>
      <c r="G588" s="32">
        <v>42397</v>
      </c>
    </row>
    <row r="589" ht="19.5" customHeight="1" spans="2:13">
      <c r="B589" s="17">
        <v>14</v>
      </c>
      <c r="C589" s="5" t="s">
        <v>2019</v>
      </c>
      <c r="D589" s="75" t="s">
        <v>1938</v>
      </c>
      <c r="E589" s="76"/>
      <c r="F589" s="77">
        <v>42425</v>
      </c>
      <c r="G589" s="18">
        <v>42397</v>
      </c>
    </row>
    <row r="590" ht="19.5" customHeight="1" spans="2:13">
      <c r="B590" s="17">
        <v>15</v>
      </c>
      <c r="C590" s="5" t="s">
        <v>2076</v>
      </c>
      <c r="D590" s="75" t="s">
        <v>1954</v>
      </c>
      <c r="E590" s="76"/>
      <c r="F590" s="77">
        <v>42439</v>
      </c>
      <c r="G590" s="32">
        <v>42397</v>
      </c>
    </row>
    <row r="591" ht="19.5" customHeight="1" spans="2:13">
      <c r="B591" s="17">
        <v>16</v>
      </c>
      <c r="C591" s="5" t="s">
        <v>334</v>
      </c>
      <c r="D591" s="41" t="e">
        <f>VLOOKUP($C591,[3]INCUMBENT!$B$2:$F$222,3,0)</f>
        <v>#N/A</v>
      </c>
      <c r="E591" s="3"/>
      <c r="F591" s="31" t="e">
        <f>VLOOKUP($C591,[3]INCUMBENT!$B$2:$F$222,5,0)</f>
        <v>#N/A</v>
      </c>
      <c r="G591" s="18">
        <v>42397</v>
      </c>
      <c r="I591" s="57"/>
    </row>
    <row r="592" ht="19.5" customHeight="1" spans="2:13">
      <c r="B592" s="17">
        <v>17</v>
      </c>
      <c r="C592" s="5" t="s">
        <v>349</v>
      </c>
      <c r="D592" s="41" t="e">
        <f>VLOOKUP($C592,[3]INCUMBENT!$B$2:$F$222,3,0)</f>
        <v>#N/A</v>
      </c>
      <c r="E592" s="3"/>
      <c r="F592" s="31" t="e">
        <f>VLOOKUP($C592,[3]INCUMBENT!$B$2:$F$222,5,0)</f>
        <v>#N/A</v>
      </c>
      <c r="G592" s="18">
        <v>42397</v>
      </c>
    </row>
    <row r="593" ht="19.5" customHeight="1" spans="2:7">
      <c r="B593" s="17"/>
      <c r="C593" s="5"/>
      <c r="D593" s="41"/>
      <c r="E593" s="3"/>
      <c r="F593" s="31"/>
      <c r="G593" s="18">
        <v>42397</v>
      </c>
    </row>
    <row r="594" ht="19.5" customHeight="1" spans="2:7">
      <c r="B594" s="17"/>
      <c r="C594" s="5"/>
      <c r="D594" s="41"/>
      <c r="E594" s="3"/>
      <c r="F594" s="31"/>
      <c r="G594" s="18">
        <v>42397</v>
      </c>
    </row>
    <row r="595" ht="19.5" customHeight="1" spans="2:7">
      <c r="B595" s="17"/>
      <c r="C595" s="5"/>
      <c r="D595" s="41"/>
      <c r="E595" s="3"/>
      <c r="F595" s="31"/>
      <c r="G595" s="284" t="s">
        <v>3571</v>
      </c>
    </row>
    <row r="596" ht="19.5" customHeight="1" spans="2:7">
      <c r="B596" s="17"/>
      <c r="C596" s="5"/>
      <c r="D596" s="41"/>
      <c r="E596" s="3"/>
      <c r="F596" s="31"/>
      <c r="G596" s="44"/>
    </row>
    <row r="597" ht="19.5" customHeight="1" spans="2:7">
      <c r="B597" s="17"/>
      <c r="C597" s="5"/>
      <c r="D597" s="41"/>
      <c r="E597" s="3"/>
      <c r="F597" s="31"/>
    </row>
    <row r="598" ht="19.5" customHeight="1" spans="2:7">
      <c r="B598" s="17"/>
      <c r="C598" s="5"/>
      <c r="D598" s="41"/>
      <c r="E598" s="3"/>
      <c r="F598" s="31"/>
      <c r="G598" s="284" t="s">
        <v>3532</v>
      </c>
    </row>
    <row r="599" ht="30" customHeight="1" spans="2:7">
      <c r="B599" s="47"/>
      <c r="C599" s="48"/>
      <c r="D599" s="71"/>
      <c r="E599" s="71"/>
      <c r="F599" s="72"/>
      <c r="G599" s="284" t="s">
        <v>3532</v>
      </c>
    </row>
    <row r="600" ht="19.5" customHeight="1" spans="2:7">
      <c r="B600" s="10" t="s">
        <v>3479</v>
      </c>
      <c r="G600" s="284" t="s">
        <v>3532</v>
      </c>
    </row>
    <row r="601" ht="19.5" customHeight="1" spans="2:7">
      <c r="B601" s="11">
        <v>42509</v>
      </c>
      <c r="G601" s="284" t="s">
        <v>3532</v>
      </c>
    </row>
    <row r="602" ht="19.5" customHeight="1" spans="2:7">
      <c r="B602" s="12" t="s">
        <v>27</v>
      </c>
      <c r="G602" s="284" t="s">
        <v>3532</v>
      </c>
    </row>
    <row r="603" ht="19.5" customHeight="1" spans="2:7">
      <c r="B603" s="70" t="s">
        <v>3481</v>
      </c>
      <c r="C603" s="14" t="s">
        <v>3</v>
      </c>
      <c r="D603" s="14" t="s">
        <v>3482</v>
      </c>
      <c r="E603" s="14" t="s">
        <v>3504</v>
      </c>
      <c r="F603" s="15" t="s">
        <v>745</v>
      </c>
      <c r="G603" s="284" t="s">
        <v>3532</v>
      </c>
    </row>
    <row r="604" ht="19.5" customHeight="1" spans="2:7">
      <c r="B604" s="17"/>
      <c r="C604" s="5" t="s">
        <v>264</v>
      </c>
      <c r="D604" s="41" t="e">
        <f>VLOOKUP($C604,[3]INCUMBENT!$B$2:$F$222,3,0)</f>
        <v>#N/A</v>
      </c>
      <c r="E604" s="3"/>
      <c r="F604" s="31" t="e">
        <f>VLOOKUP($C604,[3]INCUMBENT!$B$2:$F$222,5,0)</f>
        <v>#N/A</v>
      </c>
      <c r="G604" s="284" t="s">
        <v>3532</v>
      </c>
    </row>
    <row r="605" ht="19.5" customHeight="1" spans="2:7">
      <c r="B605" s="17"/>
      <c r="C605" s="5" t="s">
        <v>2463</v>
      </c>
      <c r="D605" s="41" t="e">
        <f>VLOOKUP($C605,[3]INCUMBENT!$B$2:$F$222,3,0)</f>
        <v>#N/A</v>
      </c>
      <c r="E605" s="3"/>
      <c r="F605" s="31" t="e">
        <f>VLOOKUP($C605,[3]INCUMBENT!$B$2:$F$222,5,0)</f>
        <v>#N/A</v>
      </c>
      <c r="G605" s="18"/>
    </row>
    <row r="606" ht="19.5" customHeight="1" spans="2:7">
      <c r="B606" s="17"/>
      <c r="C606" s="5" t="s">
        <v>1650</v>
      </c>
      <c r="D606" s="41" t="e">
        <f>VLOOKUP($C606,[3]INCUMBENT!$B$2:$F$222,3,0)</f>
        <v>#N/A</v>
      </c>
      <c r="E606" s="3"/>
      <c r="F606" s="31" t="e">
        <f>VLOOKUP($C606,[3]INCUMBENT!$B$2:$F$222,5,0)</f>
        <v>#N/A</v>
      </c>
      <c r="G606" s="18"/>
    </row>
    <row r="607" ht="19.5" customHeight="1" spans="2:7">
      <c r="B607" s="17"/>
      <c r="C607" s="5" t="s">
        <v>310</v>
      </c>
      <c r="D607" s="41" t="e">
        <f>VLOOKUP($C607,[3]INCUMBENT!$B$2:$F$222,3,0)</f>
        <v>#N/A</v>
      </c>
      <c r="E607" s="3"/>
      <c r="F607" s="31" t="e">
        <f>VLOOKUP($C607,[3]INCUMBENT!$B$2:$F$222,5,0)</f>
        <v>#N/A</v>
      </c>
      <c r="G607" s="18"/>
    </row>
    <row r="608" ht="19.5" customHeight="1" spans="2:7">
      <c r="B608" s="17"/>
      <c r="C608" s="5" t="s">
        <v>1796</v>
      </c>
      <c r="D608" s="41" t="e">
        <f>VLOOKUP($C608,[3]INCUMBENT!$B$2:$F$222,3,0)</f>
        <v>#N/A</v>
      </c>
      <c r="E608" s="3"/>
      <c r="F608" s="31" t="e">
        <f>VLOOKUP($C608,[3]INCUMBENT!$B$2:$F$222,5,0)</f>
        <v>#N/A</v>
      </c>
      <c r="G608" s="45"/>
    </row>
    <row r="609" ht="19.5" customHeight="1" spans="2:13">
      <c r="B609" s="17"/>
      <c r="C609" s="5"/>
      <c r="D609" s="41"/>
      <c r="E609" s="3"/>
      <c r="F609" s="31"/>
      <c r="G609" s="45"/>
    </row>
    <row r="610" ht="19.5" customHeight="1" spans="2:13">
      <c r="B610" s="17"/>
      <c r="C610" s="5"/>
      <c r="D610" s="41"/>
      <c r="E610" s="3"/>
      <c r="F610" s="31"/>
    </row>
    <row r="611" ht="19.5" customHeight="1" spans="2:13">
      <c r="B611" s="17"/>
      <c r="C611" s="5"/>
      <c r="D611" s="41"/>
      <c r="E611" s="3"/>
      <c r="F611" s="31"/>
    </row>
    <row r="612" spans="2:13">
      <c r="B612" s="17"/>
      <c r="C612" s="5"/>
      <c r="D612" s="41"/>
      <c r="E612" s="41"/>
      <c r="F612" s="31"/>
      <c r="G612" s="16" t="s">
        <v>3483</v>
      </c>
    </row>
    <row r="613" ht="17.55" spans="2:13">
      <c r="B613" s="22"/>
      <c r="C613" s="23"/>
      <c r="D613" s="46"/>
      <c r="E613" s="46"/>
      <c r="F613" s="24"/>
      <c r="G613" s="32">
        <v>42320</v>
      </c>
    </row>
    <row r="614" spans="2:13">
      <c r="G614" s="32">
        <v>42320</v>
      </c>
    </row>
    <row r="615" ht="19.5" customHeight="1" spans="2:13">
      <c r="G615" s="18">
        <v>42320</v>
      </c>
      <c r="I615" s="54" t="s">
        <v>3528</v>
      </c>
      <c r="J615" s="55" t="s">
        <v>3529</v>
      </c>
      <c r="K615" s="55" t="s">
        <v>3530</v>
      </c>
    </row>
    <row r="616" ht="19.5" customHeight="1" spans="2:13">
      <c r="B616" s="11"/>
      <c r="G616" s="18">
        <v>42320</v>
      </c>
      <c r="I616" s="56" t="s">
        <v>3533</v>
      </c>
      <c r="J616" s="56"/>
      <c r="K616" s="56"/>
    </row>
    <row r="617" ht="19.5" customHeight="1" spans="2:13">
      <c r="B617" s="47"/>
      <c r="C617" s="48"/>
      <c r="D617" s="71"/>
      <c r="E617" s="71"/>
      <c r="F617" s="72"/>
      <c r="G617" s="18">
        <v>42320</v>
      </c>
      <c r="I617" s="56" t="s">
        <v>3534</v>
      </c>
      <c r="J617" s="56"/>
      <c r="K617" s="56"/>
    </row>
    <row r="618" ht="19.5" customHeight="1" spans="2:13">
      <c r="B618" s="47"/>
      <c r="C618" s="48"/>
      <c r="D618" s="71"/>
      <c r="E618" s="71"/>
      <c r="F618" s="72"/>
      <c r="G618" s="32">
        <v>42320</v>
      </c>
      <c r="I618" s="56" t="s">
        <v>3558</v>
      </c>
      <c r="J618" s="56"/>
      <c r="K618" s="56"/>
    </row>
    <row r="619" ht="19.5" customHeight="1" spans="2:13">
      <c r="B619" s="11">
        <v>42397</v>
      </c>
      <c r="G619" s="18">
        <v>42320</v>
      </c>
      <c r="I619" s="56" t="s">
        <v>3559</v>
      </c>
      <c r="J619" s="56"/>
      <c r="K619" s="56"/>
    </row>
    <row r="620" ht="19.5" customHeight="1" spans="2:13">
      <c r="B620" s="12" t="s">
        <v>3480</v>
      </c>
      <c r="G620" s="18">
        <v>42320</v>
      </c>
      <c r="J620" s="56"/>
      <c r="K620" s="56"/>
    </row>
    <row r="621" ht="19.5" customHeight="1" spans="2:13">
      <c r="B621" s="70" t="s">
        <v>3481</v>
      </c>
      <c r="C621" s="14" t="s">
        <v>3</v>
      </c>
      <c r="D621" s="14" t="s">
        <v>3482</v>
      </c>
      <c r="E621" s="14" t="s">
        <v>3504</v>
      </c>
      <c r="F621" s="15" t="s">
        <v>745</v>
      </c>
      <c r="G621" s="32"/>
      <c r="I621" s="57"/>
      <c r="M621" s="57"/>
    </row>
    <row r="622" ht="19.5" customHeight="1" spans="2:13">
      <c r="B622" s="17">
        <v>1</v>
      </c>
      <c r="C622" s="5" t="s">
        <v>250</v>
      </c>
      <c r="D622" s="41" t="e">
        <f>VLOOKUP($C622,[3]INCUMBENT!$B$2:$F$222,3,0)</f>
        <v>#N/A</v>
      </c>
      <c r="E622" s="41" t="s">
        <v>3480</v>
      </c>
      <c r="F622" s="31" t="e">
        <f>VLOOKUP($C622,[3]INCUMBENT!$B$2:$F$222,5,0)</f>
        <v>#N/A</v>
      </c>
      <c r="G622" s="18">
        <v>42320</v>
      </c>
    </row>
    <row r="623" ht="19.5" customHeight="1" spans="2:13">
      <c r="B623" s="17">
        <v>2</v>
      </c>
      <c r="C623" s="5" t="s">
        <v>3361</v>
      </c>
      <c r="D623" s="41" t="e">
        <f>VLOOKUP($C623,[3]INCUMBENT!$B$2:$F$222,3,0)</f>
        <v>#N/A</v>
      </c>
      <c r="E623" s="41" t="s">
        <v>3480</v>
      </c>
      <c r="F623" s="31" t="e">
        <f>VLOOKUP($C623,[3]INCUMBENT!$B$2:$F$222,5,0)</f>
        <v>#N/A</v>
      </c>
      <c r="G623" s="32">
        <v>42320</v>
      </c>
    </row>
    <row r="624" ht="19.5" customHeight="1" spans="2:13">
      <c r="B624" s="17">
        <v>3</v>
      </c>
      <c r="C624" s="5" t="s">
        <v>2722</v>
      </c>
      <c r="D624" s="41" t="e">
        <f>VLOOKUP($C624,[3]INCUMBENT!$B$2:$F$222,3,0)</f>
        <v>#N/A</v>
      </c>
      <c r="E624" s="41" t="s">
        <v>3480</v>
      </c>
      <c r="F624" s="31" t="e">
        <f>VLOOKUP($C624,[3]INCUMBENT!$B$2:$F$222,5,0)</f>
        <v>#N/A</v>
      </c>
      <c r="G624" s="32">
        <v>42320</v>
      </c>
    </row>
    <row r="625" ht="19.5" customHeight="1" spans="2:11">
      <c r="B625" s="17">
        <v>4</v>
      </c>
      <c r="C625" s="5" t="s">
        <v>258</v>
      </c>
      <c r="D625" s="41" t="e">
        <f>VLOOKUP($C625,[3]INCUMBENT!$B$2:$F$222,3,0)</f>
        <v>#N/A</v>
      </c>
      <c r="E625" s="41" t="s">
        <v>3480</v>
      </c>
      <c r="F625" s="31" t="e">
        <f>VLOOKUP($C625,[3]INCUMBENT!$B$2:$F$222,5,0)</f>
        <v>#N/A</v>
      </c>
      <c r="G625" s="18">
        <v>42320</v>
      </c>
    </row>
    <row r="626" ht="19.5" customHeight="1" spans="2:11">
      <c r="B626" s="17">
        <v>5</v>
      </c>
      <c r="C626" s="5" t="s">
        <v>259</v>
      </c>
      <c r="D626" s="41" t="e">
        <f>VLOOKUP($C626,[3]INCUMBENT!$B$2:$F$222,3,0)</f>
        <v>#N/A</v>
      </c>
      <c r="E626" s="41" t="s">
        <v>3480</v>
      </c>
      <c r="F626" s="31" t="e">
        <f>VLOOKUP($C626,[3]INCUMBENT!$B$2:$F$222,5,0)</f>
        <v>#N/A</v>
      </c>
      <c r="G626" s="32">
        <v>42320</v>
      </c>
    </row>
    <row r="627" ht="19.5" customHeight="1" spans="2:11">
      <c r="B627" s="17">
        <v>6</v>
      </c>
      <c r="C627" s="5" t="s">
        <v>261</v>
      </c>
      <c r="D627" s="41" t="e">
        <f>VLOOKUP($C627,[3]INCUMBENT!$B$2:$F$222,3,0)</f>
        <v>#N/A</v>
      </c>
      <c r="E627" s="41"/>
      <c r="F627" s="31" t="e">
        <f>VLOOKUP($C627,[3]INCUMBENT!$B$2:$F$222,5,0)</f>
        <v>#N/A</v>
      </c>
      <c r="G627" s="32">
        <v>42320</v>
      </c>
      <c r="I627" s="57"/>
    </row>
    <row r="628" ht="19.5" customHeight="1" spans="2:11">
      <c r="B628" s="17">
        <v>7</v>
      </c>
      <c r="C628" s="5" t="s">
        <v>263</v>
      </c>
      <c r="D628" s="41" t="e">
        <f>VLOOKUP($C628,[3]INCUMBENT!$B$2:$F$222,3,0)</f>
        <v>#N/A</v>
      </c>
      <c r="E628" s="41"/>
      <c r="F628" s="31" t="e">
        <f>VLOOKUP($C628,[3]INCUMBENT!$B$2:$F$222,5,0)</f>
        <v>#N/A</v>
      </c>
      <c r="G628" s="18">
        <v>42320</v>
      </c>
    </row>
    <row r="629" ht="19.5" customHeight="1" spans="2:11">
      <c r="B629" s="17">
        <v>8</v>
      </c>
      <c r="C629" s="5" t="s">
        <v>272</v>
      </c>
      <c r="D629" s="41" t="e">
        <f>VLOOKUP($C629,[3]INCUMBENT!$B$2:$F$222,3,0)</f>
        <v>#N/A</v>
      </c>
      <c r="E629" s="41"/>
      <c r="F629" s="31" t="e">
        <f>VLOOKUP($C629,[3]INCUMBENT!$B$2:$F$222,5,0)</f>
        <v>#N/A</v>
      </c>
      <c r="G629" s="18">
        <v>42320</v>
      </c>
    </row>
    <row r="630" ht="19.5" customHeight="1" spans="2:11">
      <c r="B630" s="17">
        <v>9</v>
      </c>
      <c r="C630" s="5" t="s">
        <v>286</v>
      </c>
      <c r="D630" s="41" t="e">
        <f>VLOOKUP($C630,[3]INCUMBENT!$B$2:$F$222,3,0)</f>
        <v>#N/A</v>
      </c>
      <c r="E630" s="41"/>
      <c r="F630" s="31" t="e">
        <f>VLOOKUP($C630,[3]INCUMBENT!$B$2:$F$222,5,0)</f>
        <v>#N/A</v>
      </c>
      <c r="G630" s="18">
        <v>42320</v>
      </c>
    </row>
    <row r="631" ht="19.5" customHeight="1" spans="2:11">
      <c r="B631" s="17">
        <v>10</v>
      </c>
      <c r="C631" s="5" t="s">
        <v>288</v>
      </c>
      <c r="D631" s="41" t="e">
        <f>VLOOKUP($C631,[3]INCUMBENT!$B$2:$F$222,3,0)</f>
        <v>#N/A</v>
      </c>
      <c r="E631" s="41"/>
      <c r="F631" s="31" t="e">
        <f>VLOOKUP($C631,[3]INCUMBENT!$B$2:$F$222,5,0)</f>
        <v>#N/A</v>
      </c>
      <c r="G631" s="18">
        <v>42320</v>
      </c>
    </row>
    <row r="632" ht="19.5" customHeight="1" spans="2:11">
      <c r="B632" s="17">
        <v>11</v>
      </c>
      <c r="C632" s="5" t="s">
        <v>292</v>
      </c>
      <c r="D632" s="41" t="e">
        <f>VLOOKUP($C632,[3]INCUMBENT!$B$2:$F$222,3,0)</f>
        <v>#N/A</v>
      </c>
      <c r="E632" s="41"/>
      <c r="F632" s="31" t="e">
        <f>VLOOKUP($C632,[3]INCUMBENT!$B$2:$F$222,5,0)</f>
        <v>#N/A</v>
      </c>
      <c r="G632" s="44"/>
    </row>
    <row r="633" ht="19.5" customHeight="1" spans="2:11">
      <c r="B633" s="17">
        <v>12</v>
      </c>
      <c r="C633" s="5" t="s">
        <v>1855</v>
      </c>
      <c r="D633" s="41" t="e">
        <f>VLOOKUP($C633,[3]INCUMBENT!$B$2:$F$222,3,0)</f>
        <v>#N/A</v>
      </c>
      <c r="E633" s="3"/>
      <c r="F633" s="31" t="e">
        <f>VLOOKUP($C633,[3]INCUMBENT!$B$2:$F$222,5,0)</f>
        <v>#N/A</v>
      </c>
    </row>
    <row r="634" ht="19.5" customHeight="1" spans="2:11">
      <c r="B634" s="17">
        <v>13</v>
      </c>
      <c r="C634" s="5" t="s">
        <v>299</v>
      </c>
      <c r="D634" s="41" t="e">
        <f>VLOOKUP($C634,[3]INCUMBENT!$B$2:$F$222,3,0)</f>
        <v>#N/A</v>
      </c>
      <c r="E634" s="41"/>
      <c r="F634" s="31" t="e">
        <f>VLOOKUP($C634,[3]INCUMBENT!$B$2:$F$222,5,0)</f>
        <v>#N/A</v>
      </c>
    </row>
    <row r="635" ht="30" customHeight="1" spans="2:11">
      <c r="B635" s="17">
        <v>14</v>
      </c>
      <c r="C635" s="5" t="s">
        <v>300</v>
      </c>
      <c r="D635" s="41" t="e">
        <f>VLOOKUP($C635,[3]INCUMBENT!$B$2:$F$222,3,0)</f>
        <v>#N/A</v>
      </c>
      <c r="E635" s="3"/>
      <c r="F635" s="31" t="e">
        <f>VLOOKUP($C635,[3]INCUMBENT!$B$2:$F$222,5,0)</f>
        <v>#N/A</v>
      </c>
    </row>
    <row r="636" spans="2:11">
      <c r="B636" s="17">
        <v>15</v>
      </c>
      <c r="C636" s="5" t="s">
        <v>301</v>
      </c>
      <c r="D636" s="41" t="e">
        <f>VLOOKUP($C636,[3]INCUMBENT!$B$2:$F$222,3,0)</f>
        <v>#N/A</v>
      </c>
      <c r="E636" s="41"/>
      <c r="F636" s="31" t="e">
        <f>VLOOKUP($C636,[3]INCUMBENT!$B$2:$F$222,5,0)</f>
        <v>#N/A</v>
      </c>
      <c r="G636" s="78" t="s">
        <v>3483</v>
      </c>
    </row>
    <row r="637" spans="2:11">
      <c r="B637" s="17">
        <v>16</v>
      </c>
      <c r="C637" s="5" t="s">
        <v>302</v>
      </c>
      <c r="D637" s="41" t="e">
        <f>VLOOKUP($C637,[3]INCUMBENT!$B$2:$F$222,3,0)</f>
        <v>#N/A</v>
      </c>
      <c r="E637" s="3"/>
      <c r="F637" s="31" t="e">
        <f>VLOOKUP($C637,[3]INCUMBENT!$B$2:$F$222,5,0)</f>
        <v>#N/A</v>
      </c>
      <c r="G637" s="31"/>
    </row>
    <row r="638" spans="2:11">
      <c r="B638" s="17">
        <v>17</v>
      </c>
      <c r="C638" s="5" t="s">
        <v>1606</v>
      </c>
      <c r="D638" s="41" t="e">
        <f>VLOOKUP($C638,[3]INCUMBENT!$B$2:$F$222,3,0)</f>
        <v>#N/A</v>
      </c>
      <c r="E638" s="3"/>
      <c r="F638" s="31" t="e">
        <f>VLOOKUP($C638,[3]INCUMBENT!$B$2:$F$222,5,0)</f>
        <v>#N/A</v>
      </c>
      <c r="G638" s="31" t="s">
        <v>3572</v>
      </c>
    </row>
    <row r="639" ht="19.5" customHeight="1" spans="2:11">
      <c r="B639" s="17">
        <v>18</v>
      </c>
      <c r="C639" s="5" t="s">
        <v>303</v>
      </c>
      <c r="D639" s="41" t="e">
        <f>VLOOKUP($C639,[3]INCUMBENT!$B$2:$F$222,3,0)</f>
        <v>#N/A</v>
      </c>
      <c r="E639" s="3"/>
      <c r="F639" s="31" t="e">
        <f>VLOOKUP($C639,[3]INCUMBENT!$B$2:$F$222,5,0)</f>
        <v>#N/A</v>
      </c>
      <c r="G639" s="6"/>
      <c r="I639" s="54" t="s">
        <v>3528</v>
      </c>
      <c r="J639" s="55" t="s">
        <v>3529</v>
      </c>
      <c r="K639" s="55" t="s">
        <v>3530</v>
      </c>
    </row>
    <row r="640" ht="19.5" customHeight="1" spans="2:11">
      <c r="B640" s="17">
        <v>19</v>
      </c>
      <c r="C640" s="5" t="s">
        <v>1965</v>
      </c>
      <c r="D640" s="41" t="e">
        <f>VLOOKUP($C640,[3]INCUMBENT!$B$2:$F$222,3,0)</f>
        <v>#N/A</v>
      </c>
      <c r="E640" s="3"/>
      <c r="F640" s="31" t="e">
        <f>VLOOKUP($C640,[3]INCUMBENT!$B$2:$F$222,5,0)</f>
        <v>#N/A</v>
      </c>
      <c r="G640" s="6"/>
      <c r="I640" s="56" t="s">
        <v>3533</v>
      </c>
      <c r="J640" s="56"/>
      <c r="K640" s="56"/>
    </row>
    <row r="641" ht="19.5" customHeight="1" spans="2:13">
      <c r="B641" s="17">
        <v>20</v>
      </c>
      <c r="C641" s="5" t="s">
        <v>283</v>
      </c>
      <c r="D641" s="41" t="e">
        <f>VLOOKUP($C641,[3]INCUMBENT!$B$2:$F$222,3,0)</f>
        <v>#N/A</v>
      </c>
      <c r="E641" s="41"/>
      <c r="F641" s="31" t="e">
        <f>VLOOKUP($C641,[3]INCUMBENT!$B$2:$F$222,5,0)</f>
        <v>#N/A</v>
      </c>
      <c r="G641" s="6"/>
      <c r="I641" s="56" t="s">
        <v>3534</v>
      </c>
      <c r="J641" s="56"/>
      <c r="K641" s="56"/>
    </row>
    <row r="642" ht="19.5" customHeight="1" spans="2:13">
      <c r="B642" s="22"/>
      <c r="C642" s="23"/>
      <c r="D642" s="46"/>
      <c r="E642" s="46"/>
      <c r="F642" s="24"/>
      <c r="G642" s="31" t="s">
        <v>3572</v>
      </c>
      <c r="I642" s="56" t="s">
        <v>3558</v>
      </c>
      <c r="J642" s="56"/>
      <c r="K642" s="56"/>
    </row>
    <row r="643" ht="19.5" customHeight="1" spans="2:13">
      <c r="B643" s="11"/>
      <c r="G643" s="31" t="s">
        <v>3572</v>
      </c>
      <c r="I643" s="56" t="s">
        <v>3559</v>
      </c>
      <c r="J643" s="56"/>
      <c r="K643" s="56"/>
    </row>
    <row r="644" ht="19.5" customHeight="1" spans="2:13">
      <c r="B644" s="17">
        <v>8</v>
      </c>
      <c r="C644" s="5" t="s">
        <v>1575</v>
      </c>
      <c r="D644" s="41" t="e">
        <f>VLOOKUP($C644,[3]INCUMBENT!$B$2:$F$222,3,0)</f>
        <v>#N/A</v>
      </c>
      <c r="E644" s="41"/>
      <c r="F644" s="31" t="e">
        <f>VLOOKUP($C644,[3]INCUMBENT!$B$2:$F$222,5,0)</f>
        <v>#N/A</v>
      </c>
      <c r="G644" s="6"/>
      <c r="J644" s="56"/>
      <c r="K644" s="56"/>
    </row>
    <row r="645" ht="19.5" customHeight="1" spans="2:13">
      <c r="B645" s="17">
        <v>9</v>
      </c>
      <c r="C645" s="5" t="s">
        <v>2189</v>
      </c>
      <c r="D645" s="41" t="e">
        <f>VLOOKUP($C645,[3]INCUMBENT!$B$2:$F$222,3,0)</f>
        <v>#N/A</v>
      </c>
      <c r="E645" s="41"/>
      <c r="F645" s="31" t="e">
        <f>VLOOKUP($C645,[3]INCUMBENT!$B$2:$F$222,5,0)</f>
        <v>#N/A</v>
      </c>
      <c r="G645" s="31" t="s">
        <v>3572</v>
      </c>
      <c r="I645" s="57"/>
      <c r="M645" s="57"/>
    </row>
    <row r="646" ht="19.5" customHeight="1" spans="2:13">
      <c r="B646" s="17">
        <v>11</v>
      </c>
      <c r="C646" s="5" t="s">
        <v>266</v>
      </c>
      <c r="D646" s="41" t="e">
        <f>VLOOKUP($C646,[3]INCUMBENT!$B$2:$F$222,3,0)</f>
        <v>#N/A</v>
      </c>
      <c r="E646" s="41"/>
      <c r="F646" s="31" t="e">
        <f>VLOOKUP($C646,[3]INCUMBENT!$B$2:$F$222,5,0)</f>
        <v>#N/A</v>
      </c>
      <c r="G646" s="6"/>
    </row>
    <row r="647" ht="19.5" customHeight="1" spans="2:13">
      <c r="B647" s="17">
        <v>13</v>
      </c>
      <c r="C647" s="5" t="s">
        <v>268</v>
      </c>
      <c r="D647" s="41" t="e">
        <f>VLOOKUP($C647,[3]INCUMBENT!$B$2:$F$222,3,0)</f>
        <v>#N/A</v>
      </c>
      <c r="E647" s="41"/>
      <c r="F647" s="31" t="e">
        <f>VLOOKUP($C647,[3]INCUMBENT!$B$2:$F$222,5,0)</f>
        <v>#N/A</v>
      </c>
      <c r="G647" s="6"/>
    </row>
    <row r="648" ht="19.5" customHeight="1" spans="2:13">
      <c r="B648" s="17">
        <v>19</v>
      </c>
      <c r="C648" s="5" t="s">
        <v>291</v>
      </c>
      <c r="D648" s="41" t="e">
        <f>VLOOKUP($C648,[3]INCUMBENT!$B$2:$F$222,3,0)</f>
        <v>#N/A</v>
      </c>
      <c r="E648" s="41"/>
      <c r="F648" s="31" t="e">
        <f>VLOOKUP($C648,[3]INCUMBENT!$B$2:$F$222,5,0)</f>
        <v>#N/A</v>
      </c>
      <c r="G648" s="31" t="s">
        <v>3572</v>
      </c>
    </row>
    <row r="649" ht="19.5" customHeight="1" spans="2:13">
      <c r="B649" s="17">
        <v>22</v>
      </c>
      <c r="C649" s="5" t="s">
        <v>295</v>
      </c>
      <c r="D649" s="41" t="e">
        <f>VLOOKUP($C649,[3]INCUMBENT!$B$2:$F$222,3,0)</f>
        <v>#N/A</v>
      </c>
      <c r="E649" s="41"/>
      <c r="F649" s="31" t="e">
        <f>VLOOKUP($C649,[3]INCUMBENT!$B$2:$F$222,5,0)</f>
        <v>#N/A</v>
      </c>
      <c r="G649" s="31"/>
    </row>
    <row r="650" ht="19.5" customHeight="1" spans="2:13">
      <c r="B650" s="17">
        <v>26</v>
      </c>
      <c r="C650" s="5" t="s">
        <v>298</v>
      </c>
      <c r="D650" s="41" t="e">
        <f>VLOOKUP($C650,[3]INCUMBENT!$B$2:$F$222,3,0)</f>
        <v>#N/A</v>
      </c>
      <c r="E650" s="41"/>
      <c r="F650" s="31" t="e">
        <f>VLOOKUP($C650,[3]INCUMBENT!$B$2:$F$222,5,0)</f>
        <v>#N/A</v>
      </c>
      <c r="G650" s="6"/>
    </row>
    <row r="651" ht="19.5" customHeight="1" spans="2:13">
      <c r="B651" s="17">
        <v>10</v>
      </c>
      <c r="C651" s="5" t="s">
        <v>275</v>
      </c>
      <c r="D651" s="41" t="e">
        <f>VLOOKUP($C651,[3]INCUMBENT!$B$2:$F$222,3,0)</f>
        <v>#N/A</v>
      </c>
      <c r="E651" s="41"/>
      <c r="F651" s="31" t="e">
        <f>VLOOKUP($C651,[3]INCUMBENT!$B$2:$F$222,5,0)</f>
        <v>#N/A</v>
      </c>
      <c r="G651" s="6"/>
    </row>
    <row r="652" ht="19.5" customHeight="1" spans="2:13">
      <c r="B652" s="17">
        <v>11</v>
      </c>
      <c r="C652" s="5" t="s">
        <v>280</v>
      </c>
      <c r="D652" s="41" t="e">
        <f>VLOOKUP($C652,[3]INCUMBENT!$B$2:$F$222,3,0)</f>
        <v>#N/A</v>
      </c>
      <c r="E652" s="41"/>
      <c r="F652" s="31" t="e">
        <f>VLOOKUP($C652,[3]INCUMBENT!$B$2:$F$222,5,0)</f>
        <v>#N/A</v>
      </c>
      <c r="G652" s="6"/>
      <c r="I652" s="57"/>
    </row>
    <row r="653" ht="19.5" customHeight="1" spans="2:13">
      <c r="B653" s="17">
        <v>3</v>
      </c>
      <c r="C653" s="5" t="s">
        <v>256</v>
      </c>
      <c r="D653" s="41" t="e">
        <f>VLOOKUP($C653,[3]INCUMBENT!$B$2:$F$222,3,0)</f>
        <v>#N/A</v>
      </c>
      <c r="E653" s="41" t="s">
        <v>3480</v>
      </c>
      <c r="F653" s="31" t="e">
        <f>VLOOKUP($C653,[3]INCUMBENT!$B$2:$F$222,5,0)</f>
        <v>#N/A</v>
      </c>
      <c r="G653" s="6"/>
      <c r="I653" s="57"/>
    </row>
    <row r="654" ht="19.5" customHeight="1" spans="2:13">
      <c r="B654" s="47"/>
      <c r="C654" s="48"/>
      <c r="D654" s="71"/>
      <c r="E654" s="71"/>
      <c r="F654" s="72"/>
      <c r="I654" s="57"/>
    </row>
    <row r="655" ht="19.5" customHeight="1" spans="2:13">
      <c r="B655" s="47"/>
      <c r="C655" s="48"/>
      <c r="D655" s="71"/>
      <c r="E655" s="71"/>
      <c r="F655" s="72"/>
    </row>
    <row r="656" ht="30" customHeight="1" spans="2:13">
      <c r="B656" s="11">
        <v>42320</v>
      </c>
    </row>
    <row r="657" ht="17.55" spans="2:13">
      <c r="B657" s="12" t="s">
        <v>3480</v>
      </c>
      <c r="G657" s="78" t="s">
        <v>3483</v>
      </c>
    </row>
    <row r="658" spans="2:13">
      <c r="B658" s="70" t="s">
        <v>3481</v>
      </c>
      <c r="C658" s="14" t="s">
        <v>3</v>
      </c>
      <c r="D658" s="14" t="s">
        <v>3482</v>
      </c>
      <c r="E658" s="14" t="s">
        <v>3504</v>
      </c>
      <c r="F658" s="15" t="s">
        <v>745</v>
      </c>
      <c r="G658" s="31"/>
    </row>
    <row r="659" spans="2:13">
      <c r="B659" s="17">
        <v>1</v>
      </c>
      <c r="C659" s="5" t="s">
        <v>203</v>
      </c>
      <c r="D659" s="41" t="e">
        <f>VLOOKUP($C659,[3]INCUMBENT!$B$2:$F$138,3,0)</f>
        <v>#N/A</v>
      </c>
      <c r="E659" s="41" t="s">
        <v>3480</v>
      </c>
      <c r="F659" s="31" t="e">
        <f>VLOOKUP($C659,[3]INCUMBENT!$B$2:$F$138,5,0)</f>
        <v>#N/A</v>
      </c>
      <c r="G659" s="31"/>
    </row>
    <row r="660" ht="19.5" customHeight="1" spans="2:13">
      <c r="B660" s="17">
        <v>2</v>
      </c>
      <c r="C660" s="5" t="s">
        <v>204</v>
      </c>
      <c r="D660" s="41" t="e">
        <f>VLOOKUP(C660,[3]INCUMBENT!$B$2:$F$138,3,0)</f>
        <v>#N/A</v>
      </c>
      <c r="E660" s="41" t="s">
        <v>3480</v>
      </c>
      <c r="F660" s="31" t="e">
        <f>VLOOKUP($C660,[3]INCUMBENT!$B$2:$F$138,5,0)</f>
        <v>#N/A</v>
      </c>
      <c r="G660" s="6">
        <v>42290</v>
      </c>
      <c r="I660" s="54" t="s">
        <v>3528</v>
      </c>
      <c r="J660" s="55" t="s">
        <v>3529</v>
      </c>
      <c r="K660" s="55" t="s">
        <v>3530</v>
      </c>
    </row>
    <row r="661" ht="19.5" customHeight="1" spans="2:13">
      <c r="B661" s="17">
        <v>3</v>
      </c>
      <c r="C661" s="5" t="s">
        <v>210</v>
      </c>
      <c r="D661" s="41" t="e">
        <f>VLOOKUP(C661,[3]INCUMBENT!$B$2:$F$138,3,0)</f>
        <v>#N/A</v>
      </c>
      <c r="E661" s="41" t="s">
        <v>3480</v>
      </c>
      <c r="F661" s="31" t="e">
        <f>VLOOKUP($C661,[3]INCUMBENT!$B$2:$F$138,5,0)</f>
        <v>#N/A</v>
      </c>
      <c r="G661" s="6">
        <v>42290</v>
      </c>
      <c r="I661" s="56" t="s">
        <v>3533</v>
      </c>
      <c r="J661" s="56"/>
      <c r="K661" s="56"/>
    </row>
    <row r="662" ht="19.5" customHeight="1" spans="2:13">
      <c r="B662" s="17">
        <v>4</v>
      </c>
      <c r="C662" s="5" t="s">
        <v>1896</v>
      </c>
      <c r="D662" s="41" t="e">
        <f>VLOOKUP(C662,[3]INCUMBENT!$B$2:$F$138,3,0)</f>
        <v>#N/A</v>
      </c>
      <c r="E662" s="41" t="s">
        <v>3480</v>
      </c>
      <c r="F662" s="31" t="e">
        <f>VLOOKUP($C662,[3]INCUMBENT!$B$2:$F$138,5,0)</f>
        <v>#N/A</v>
      </c>
      <c r="G662" s="6">
        <v>42290</v>
      </c>
      <c r="I662" s="56" t="s">
        <v>3534</v>
      </c>
      <c r="J662" s="56"/>
      <c r="K662" s="56"/>
    </row>
    <row r="663" ht="19.5" customHeight="1" spans="2:13">
      <c r="B663" s="17">
        <v>5</v>
      </c>
      <c r="C663" s="5" t="s">
        <v>1922</v>
      </c>
      <c r="D663" s="41" t="e">
        <f>VLOOKUP(C663,[3]INCUMBENT!$B$2:$F$138,3,0)</f>
        <v>#N/A</v>
      </c>
      <c r="E663" s="41" t="s">
        <v>3480</v>
      </c>
      <c r="F663" s="31" t="e">
        <f>VLOOKUP($C663,[3]INCUMBENT!$B$2:$F$138,5,0)</f>
        <v>#N/A</v>
      </c>
      <c r="G663" s="31"/>
      <c r="I663" s="56" t="s">
        <v>3558</v>
      </c>
      <c r="J663" s="56"/>
      <c r="K663" s="56"/>
    </row>
    <row r="664" ht="19.5" customHeight="1" spans="2:13">
      <c r="B664" s="17">
        <v>6</v>
      </c>
      <c r="C664" s="5" t="s">
        <v>1929</v>
      </c>
      <c r="D664" s="41" t="e">
        <f>VLOOKUP(C664,[3]INCUMBENT!$B$2:$F$138,3,0)</f>
        <v>#N/A</v>
      </c>
      <c r="E664" s="41" t="s">
        <v>3480</v>
      </c>
      <c r="F664" s="31" t="e">
        <f>VLOOKUP($C664,[3]INCUMBENT!$B$2:$F$138,5,0)</f>
        <v>#N/A</v>
      </c>
      <c r="G664" s="6">
        <v>42290</v>
      </c>
      <c r="I664" s="56" t="s">
        <v>3559</v>
      </c>
      <c r="J664" s="56"/>
      <c r="K664" s="56"/>
    </row>
    <row r="665" ht="19.5" customHeight="1" spans="2:13">
      <c r="B665" s="17">
        <v>7</v>
      </c>
      <c r="C665" s="5" t="s">
        <v>2361</v>
      </c>
      <c r="D665" s="41" t="e">
        <f>VLOOKUP(C665,[3]INCUMBENT!$B$2:$F$138,3,0)</f>
        <v>#N/A</v>
      </c>
      <c r="E665" s="41"/>
      <c r="F665" s="31" t="e">
        <f>VLOOKUP($C665,[3]INCUMBENT!$B$2:$F$138,5,0)</f>
        <v>#N/A</v>
      </c>
      <c r="G665" s="6">
        <v>42290</v>
      </c>
      <c r="J665" s="56"/>
      <c r="K665" s="56"/>
    </row>
    <row r="666" ht="19.5" customHeight="1" spans="2:13">
      <c r="B666" s="17">
        <v>8</v>
      </c>
      <c r="C666" s="5" t="s">
        <v>1718</v>
      </c>
      <c r="D666" s="41" t="e">
        <f>VLOOKUP(C666,[3]INCUMBENT!$B$2:$F$138,3,0)</f>
        <v>#N/A</v>
      </c>
      <c r="E666" s="41"/>
      <c r="F666" s="31" t="e">
        <f>VLOOKUP($C666,[3]INCUMBENT!$B$2:$F$138,5,0)</f>
        <v>#N/A</v>
      </c>
      <c r="G666" s="31"/>
      <c r="I666" s="57" t="s">
        <v>3539</v>
      </c>
      <c r="M666" s="57" t="s">
        <v>3540</v>
      </c>
    </row>
    <row r="667" ht="19.5" customHeight="1" spans="2:13">
      <c r="B667" s="17">
        <v>9</v>
      </c>
      <c r="C667" s="5" t="s">
        <v>1300</v>
      </c>
      <c r="D667" s="41" t="e">
        <f>VLOOKUP(C667,[3]INCUMBENT!$B$2:$F$138,3,0)</f>
        <v>#N/A</v>
      </c>
      <c r="E667" s="41"/>
      <c r="F667" s="31" t="e">
        <f>VLOOKUP($C667,[3]INCUMBENT!$B$2:$F$138,5,0)</f>
        <v>#N/A</v>
      </c>
      <c r="G667" s="6">
        <v>42290</v>
      </c>
      <c r="I667" s="2" t="s">
        <v>3541</v>
      </c>
      <c r="M667" s="2" t="s">
        <v>3542</v>
      </c>
    </row>
    <row r="668" ht="19.5" customHeight="1" spans="2:13">
      <c r="B668" s="17">
        <v>10</v>
      </c>
      <c r="C668" s="5" t="s">
        <v>229</v>
      </c>
      <c r="D668" s="41" t="e">
        <f>VLOOKUP(C668,[3]INCUMBENT!$B$2:$F$138,3,0)</f>
        <v>#N/A</v>
      </c>
      <c r="E668" s="3"/>
      <c r="F668" s="31" t="e">
        <f>VLOOKUP($C668,[3]INCUMBENT!$B$2:$F$138,5,0)</f>
        <v>#N/A</v>
      </c>
      <c r="G668" s="6">
        <v>42290</v>
      </c>
      <c r="I668" s="2" t="s">
        <v>3544</v>
      </c>
      <c r="M668" s="2" t="s">
        <v>3545</v>
      </c>
    </row>
    <row r="669" ht="19.5" customHeight="1" spans="2:13">
      <c r="B669" s="17">
        <v>11</v>
      </c>
      <c r="C669" s="5" t="s">
        <v>232</v>
      </c>
      <c r="D669" s="41" t="e">
        <f>VLOOKUP(C669,[3]INCUMBENT!$B$2:$F$138,3,0)</f>
        <v>#N/A</v>
      </c>
      <c r="E669" s="41"/>
      <c r="F669" s="31" t="e">
        <f>VLOOKUP($C669,[3]INCUMBENT!$B$2:$F$138,5,0)</f>
        <v>#N/A</v>
      </c>
      <c r="G669" s="31"/>
      <c r="I669" s="2" t="s">
        <v>3546</v>
      </c>
      <c r="M669" s="2" t="s">
        <v>3547</v>
      </c>
    </row>
    <row r="670" ht="19.5" customHeight="1" spans="2:13">
      <c r="B670" s="17">
        <v>12</v>
      </c>
      <c r="C670" s="5" t="s">
        <v>233</v>
      </c>
      <c r="D670" s="41" t="e">
        <f>VLOOKUP(C670,[3]INCUMBENT!$B$2:$F$138,3,0)</f>
        <v>#N/A</v>
      </c>
      <c r="E670" s="41"/>
      <c r="F670" s="31" t="e">
        <f>VLOOKUP($C670,[3]INCUMBENT!$B$2:$F$138,5,0)</f>
        <v>#N/A</v>
      </c>
      <c r="G670" s="31"/>
      <c r="I670" s="2" t="s">
        <v>3548</v>
      </c>
      <c r="M670" s="2" t="s">
        <v>3549</v>
      </c>
    </row>
    <row r="671" ht="19.5" customHeight="1" spans="2:13">
      <c r="B671" s="17">
        <v>13</v>
      </c>
      <c r="C671" s="5" t="s">
        <v>1565</v>
      </c>
      <c r="D671" s="41" t="e">
        <f>VLOOKUP(C671,[3]INCUMBENT!$B$2:$F$138,3,0)</f>
        <v>#N/A</v>
      </c>
      <c r="E671" s="3"/>
      <c r="F671" s="31" t="e">
        <f>VLOOKUP($C671,[3]INCUMBENT!$B$2:$F$138,5,0)</f>
        <v>#N/A</v>
      </c>
      <c r="G671" s="6">
        <v>42290</v>
      </c>
      <c r="I671" s="2" t="s">
        <v>3573</v>
      </c>
      <c r="M671" s="2" t="s">
        <v>3551</v>
      </c>
    </row>
    <row r="672" ht="19.5" customHeight="1" spans="2:13">
      <c r="B672" s="17">
        <v>14</v>
      </c>
      <c r="C672" s="5" t="s">
        <v>240</v>
      </c>
      <c r="D672" s="41" t="e">
        <f>VLOOKUP(C672,[3]INCUMBENT!$B$2:$F$138,3,0)</f>
        <v>#N/A</v>
      </c>
      <c r="E672" s="41"/>
      <c r="F672" s="31" t="e">
        <f>VLOOKUP($C672,[3]INCUMBENT!$B$2:$F$138,5,0)</f>
        <v>#N/A</v>
      </c>
      <c r="G672" s="31"/>
    </row>
    <row r="673" ht="19.5" customHeight="1" spans="2:11">
      <c r="B673" s="17">
        <v>15</v>
      </c>
      <c r="C673" s="5" t="s">
        <v>242</v>
      </c>
      <c r="D673" s="41" t="e">
        <f>VLOOKUP(C673,[3]INCUMBENT!$B$2:$F$138,3,0)</f>
        <v>#N/A</v>
      </c>
      <c r="E673" s="41"/>
      <c r="F673" s="31" t="e">
        <f>VLOOKUP($C673,[3]INCUMBENT!$B$2:$F$138,5,0)</f>
        <v>#N/A</v>
      </c>
      <c r="G673" s="31"/>
      <c r="I673" s="57" t="s">
        <v>3552</v>
      </c>
    </row>
    <row r="674" ht="19.5" customHeight="1" spans="2:11">
      <c r="B674" s="17">
        <v>16</v>
      </c>
      <c r="C674" s="5" t="s">
        <v>2198</v>
      </c>
      <c r="D674" s="41" t="e">
        <f>VLOOKUP(C674,[3]INCUMBENT!$B$2:$F$138,3,0)</f>
        <v>#N/A</v>
      </c>
      <c r="E674" s="3"/>
      <c r="F674" s="31" t="e">
        <f>VLOOKUP($C674,[3]INCUMBENT!$B$2:$F$138,5,0)</f>
        <v>#N/A</v>
      </c>
      <c r="G674" s="6">
        <v>42290</v>
      </c>
      <c r="I674" s="2" t="s">
        <v>3553</v>
      </c>
    </row>
    <row r="675" ht="19.5" customHeight="1" spans="2:11">
      <c r="B675" s="17">
        <v>17</v>
      </c>
      <c r="C675" s="5" t="s">
        <v>249</v>
      </c>
      <c r="D675" s="41" t="e">
        <f>VLOOKUP(C675,[3]INCUMBENT!$B$2:$F$138,3,0)</f>
        <v>#N/A</v>
      </c>
      <c r="E675" s="3"/>
      <c r="F675" s="31" t="e">
        <f>VLOOKUP($C675,[3]INCUMBENT!$B$2:$F$138,5,0)</f>
        <v>#N/A</v>
      </c>
      <c r="G675" s="6">
        <v>42290</v>
      </c>
      <c r="I675" s="2" t="s">
        <v>3554</v>
      </c>
    </row>
    <row r="676" ht="19.5" customHeight="1" spans="2:11">
      <c r="B676" s="17">
        <v>18</v>
      </c>
      <c r="C676" s="5" t="s">
        <v>247</v>
      </c>
      <c r="D676" s="41" t="e">
        <f>VLOOKUP(C676,[3]INCUMBENT!$B$2:$F$138,3,0)</f>
        <v>#N/A</v>
      </c>
      <c r="E676" s="3"/>
      <c r="F676" s="31" t="e">
        <f>VLOOKUP($C676,[3]INCUMBENT!$B$2:$F$138,5,0)</f>
        <v>#N/A</v>
      </c>
    </row>
    <row r="677" ht="19.5" customHeight="1" spans="2:11">
      <c r="B677" s="17">
        <v>19</v>
      </c>
      <c r="C677" s="5" t="s">
        <v>249</v>
      </c>
      <c r="D677" s="41" t="e">
        <f>VLOOKUP(C677,[3]INCUMBENT!$B$2:$F$138,3,0)</f>
        <v>#N/A</v>
      </c>
      <c r="E677" s="3"/>
      <c r="F677" s="31" t="e">
        <f>VLOOKUP($C677,[3]INCUMBENT!$B$2:$F$138,5,0)</f>
        <v>#N/A</v>
      </c>
    </row>
    <row r="678" ht="30" customHeight="1" spans="2:11">
      <c r="B678" s="22"/>
      <c r="C678" s="23"/>
      <c r="D678" s="46"/>
      <c r="E678" s="46"/>
      <c r="F678" s="24"/>
    </row>
    <row r="679" spans="2:11">
      <c r="B679" s="11"/>
      <c r="G679" s="78" t="s">
        <v>3483</v>
      </c>
    </row>
    <row r="680" spans="2:11">
      <c r="B680" s="11">
        <v>42327</v>
      </c>
      <c r="G680" s="6">
        <v>42208</v>
      </c>
    </row>
    <row r="681" spans="2:11">
      <c r="B681" s="12" t="s">
        <v>27</v>
      </c>
      <c r="G681" s="6">
        <v>42208</v>
      </c>
    </row>
    <row r="682" ht="19.5" customHeight="1" spans="2:11">
      <c r="B682" s="78" t="s">
        <v>3481</v>
      </c>
      <c r="C682" s="78" t="s">
        <v>3</v>
      </c>
      <c r="D682" s="78" t="s">
        <v>3482</v>
      </c>
      <c r="E682" s="78" t="s">
        <v>3504</v>
      </c>
      <c r="F682" s="79" t="s">
        <v>745</v>
      </c>
      <c r="G682" s="6">
        <v>42208</v>
      </c>
      <c r="I682" s="54" t="s">
        <v>3528</v>
      </c>
      <c r="J682" s="55" t="s">
        <v>3529</v>
      </c>
      <c r="K682" s="55" t="s">
        <v>3530</v>
      </c>
    </row>
    <row r="683" ht="19.5" customHeight="1" spans="2:11">
      <c r="B683" s="3">
        <v>1</v>
      </c>
      <c r="C683" s="5" t="s">
        <v>1853</v>
      </c>
      <c r="D683" s="41" t="e">
        <f>VLOOKUP(C683,[3]INCUMBENT!$B$2:$F$138,3,0)</f>
        <v>#N/A</v>
      </c>
      <c r="E683" s="3"/>
      <c r="F683" s="31" t="e">
        <f>VLOOKUP($C683,[3]INCUMBENT!$B$2:$F$138,5,0)</f>
        <v>#N/A</v>
      </c>
      <c r="G683" s="31"/>
      <c r="I683" s="56" t="s">
        <v>3574</v>
      </c>
      <c r="J683" s="56" t="s">
        <v>3575</v>
      </c>
      <c r="K683" s="56" t="s">
        <v>3576</v>
      </c>
    </row>
    <row r="684" ht="19.5" customHeight="1" spans="2:11">
      <c r="B684" s="3">
        <v>2</v>
      </c>
      <c r="C684" s="5" t="s">
        <v>193</v>
      </c>
      <c r="D684" s="41" t="e">
        <f>VLOOKUP(C684,[3]INCUMBENT!$B$2:$F$138,3,0)</f>
        <v>#N/A</v>
      </c>
      <c r="E684" s="3"/>
      <c r="F684" s="31" t="e">
        <f>VLOOKUP($C684,[3]INCUMBENT!$B$2:$F$138,5,0)</f>
        <v>#N/A</v>
      </c>
      <c r="G684" s="6">
        <v>42208</v>
      </c>
      <c r="I684" s="56" t="s">
        <v>3577</v>
      </c>
      <c r="J684" s="56" t="s">
        <v>3578</v>
      </c>
      <c r="K684" s="56" t="s">
        <v>40</v>
      </c>
    </row>
    <row r="685" ht="19.5" customHeight="1" spans="2:11">
      <c r="B685" s="3">
        <v>3</v>
      </c>
      <c r="C685" s="5" t="s">
        <v>198</v>
      </c>
      <c r="D685" s="41" t="e">
        <f>VLOOKUP(C685,[3]INCUMBENT!$B$2:$F$138,3,0)</f>
        <v>#N/A</v>
      </c>
      <c r="E685" s="3"/>
      <c r="F685" s="31" t="e">
        <f>VLOOKUP($C685,[3]INCUMBENT!$B$2:$F$138,5,0)</f>
        <v>#N/A</v>
      </c>
      <c r="G685" s="31"/>
      <c r="I685" s="56" t="s">
        <v>3579</v>
      </c>
      <c r="J685" s="56" t="s">
        <v>3580</v>
      </c>
      <c r="K685" s="56" t="s">
        <v>127</v>
      </c>
    </row>
    <row r="686" ht="19.5" customHeight="1" spans="2:11">
      <c r="B686" s="3">
        <v>4</v>
      </c>
      <c r="C686" s="5" t="s">
        <v>201</v>
      </c>
      <c r="D686" s="41" t="e">
        <f>VLOOKUP(C686,[3]INCUMBENT!$B$2:$F$138,3,0)</f>
        <v>#N/A</v>
      </c>
      <c r="E686" s="3"/>
      <c r="F686" s="31" t="e">
        <f>VLOOKUP($C686,[3]INCUMBENT!$B$2:$F$138,5,0)</f>
        <v>#N/A</v>
      </c>
      <c r="G686" s="6">
        <v>42208</v>
      </c>
    </row>
    <row r="687" ht="19.5" customHeight="1" spans="2:11">
      <c r="B687" s="3">
        <v>5</v>
      </c>
      <c r="C687" s="5" t="s">
        <v>1937</v>
      </c>
      <c r="D687" s="41" t="e">
        <f>VLOOKUP(C687,[3]INCUMBENT!$B$2:$F$138,3,0)</f>
        <v>#N/A</v>
      </c>
      <c r="E687" s="3"/>
      <c r="F687" s="31" t="e">
        <f>VLOOKUP($C687,[3]INCUMBENT!$B$2:$F$138,5,0)</f>
        <v>#N/A</v>
      </c>
      <c r="G687" s="6">
        <v>42208</v>
      </c>
    </row>
    <row r="688" ht="19.5" customHeight="1" spans="2:11">
      <c r="B688" s="3">
        <v>6</v>
      </c>
      <c r="C688" s="5" t="s">
        <v>1430</v>
      </c>
      <c r="D688" s="41" t="e">
        <f>VLOOKUP(C688,[3]INCUMBENT!$B$2:$F$138,3,0)</f>
        <v>#N/A</v>
      </c>
      <c r="E688" s="3"/>
      <c r="F688" s="31" t="e">
        <f>VLOOKUP($C688,[3]INCUMBENT!$B$2:$F$138,5,0)</f>
        <v>#N/A</v>
      </c>
      <c r="G688" s="6">
        <v>42208</v>
      </c>
    </row>
    <row r="689" ht="19.5" customHeight="1" spans="2:7">
      <c r="B689" s="3">
        <v>7</v>
      </c>
      <c r="C689" s="5" t="s">
        <v>1983</v>
      </c>
      <c r="D689" s="41" t="e">
        <f>VLOOKUP(C689,[3]INCUMBENT!$B$2:$F$138,3,0)</f>
        <v>#N/A</v>
      </c>
      <c r="E689" s="3"/>
      <c r="F689" s="31" t="e">
        <f>VLOOKUP($C689,[3]INCUMBENT!$B$2:$F$138,5,0)</f>
        <v>#N/A</v>
      </c>
      <c r="G689" s="31"/>
    </row>
    <row r="690" ht="19.5" customHeight="1" spans="2:7">
      <c r="B690" s="3">
        <v>8</v>
      </c>
      <c r="C690" s="5" t="s">
        <v>1881</v>
      </c>
      <c r="D690" s="41" t="e">
        <f>VLOOKUP(C690,[3]INCUMBENT!$B$2:$F$138,3,0)</f>
        <v>#N/A</v>
      </c>
      <c r="E690" s="3"/>
      <c r="F690" s="31" t="e">
        <f>VLOOKUP($C690,[3]INCUMBENT!$B$2:$F$138,5,0)</f>
        <v>#N/A</v>
      </c>
      <c r="G690" s="6">
        <v>42208</v>
      </c>
    </row>
    <row r="691" ht="19.5" customHeight="1" spans="2:7">
      <c r="B691" s="3">
        <v>9</v>
      </c>
      <c r="C691" s="5" t="s">
        <v>1990</v>
      </c>
      <c r="D691" s="41" t="e">
        <f>VLOOKUP(C691,[3]INCUMBENT!$B$2:$F$138,3,0)</f>
        <v>#N/A</v>
      </c>
      <c r="E691" s="3"/>
      <c r="F691" s="31" t="e">
        <f>VLOOKUP($C691,[3]INCUMBENT!$B$2:$F$138,5,0)</f>
        <v>#N/A</v>
      </c>
      <c r="G691" s="6">
        <v>42208</v>
      </c>
    </row>
    <row r="692" ht="19.5" customHeight="1" spans="2:7">
      <c r="B692" s="3">
        <v>10</v>
      </c>
      <c r="C692" s="5" t="s">
        <v>1635</v>
      </c>
      <c r="D692" s="41" t="e">
        <f>VLOOKUP(C692,[3]INCUMBENT!$B$2:$F$138,3,0)</f>
        <v>#N/A</v>
      </c>
      <c r="E692" s="3"/>
      <c r="F692" s="31" t="e">
        <f>VLOOKUP($C692,[3]INCUMBENT!$B$2:$F$138,5,0)</f>
        <v>#N/A</v>
      </c>
      <c r="G692" s="6">
        <v>42208</v>
      </c>
    </row>
    <row r="693" ht="19.5" customHeight="1" spans="2:7">
      <c r="B693" s="3">
        <v>11</v>
      </c>
      <c r="C693" s="5" t="s">
        <v>236</v>
      </c>
      <c r="D693" s="41" t="e">
        <f>VLOOKUP(C693,[3]INCUMBENT!$B$2:$F$138,3,0)</f>
        <v>#N/A</v>
      </c>
      <c r="E693" s="3"/>
      <c r="F693" s="31" t="e">
        <f>VLOOKUP($C693,[3]INCUMBENT!$B$2:$F$138,5,0)</f>
        <v>#N/A</v>
      </c>
      <c r="G693" s="6">
        <v>42208</v>
      </c>
    </row>
    <row r="694" ht="19.5" customHeight="1" spans="2:7">
      <c r="B694" s="3">
        <v>12</v>
      </c>
      <c r="C694" s="5" t="s">
        <v>2550</v>
      </c>
      <c r="D694" s="41" t="e">
        <f>VLOOKUP(C694,[3]INCUMBENT!$B$2:$F$138,3,0)</f>
        <v>#N/A</v>
      </c>
      <c r="E694" s="3"/>
      <c r="F694" s="31" t="e">
        <f>VLOOKUP($C694,[3]INCUMBENT!$B$2:$F$138,5,0)</f>
        <v>#N/A</v>
      </c>
      <c r="G694" s="6">
        <v>42208</v>
      </c>
    </row>
    <row r="695" ht="19.5" customHeight="1" spans="2:7">
      <c r="B695" s="3">
        <v>13</v>
      </c>
      <c r="C695" s="5" t="s">
        <v>237</v>
      </c>
      <c r="D695" s="41" t="e">
        <f>VLOOKUP(C695,[3]INCUMBENT!$B$2:$F$138,3,0)</f>
        <v>#N/A</v>
      </c>
      <c r="E695" s="3"/>
      <c r="F695" s="31" t="e">
        <f>VLOOKUP($C695,[3]INCUMBENT!$B$2:$F$138,5,0)</f>
        <v>#N/A</v>
      </c>
      <c r="G695" s="6">
        <v>42208</v>
      </c>
    </row>
    <row r="696" ht="19.5" customHeight="1" spans="2:7">
      <c r="B696" s="3">
        <v>14</v>
      </c>
      <c r="C696" s="5" t="s">
        <v>238</v>
      </c>
      <c r="D696" s="41" t="e">
        <f>VLOOKUP(C696,[3]INCUMBENT!$B$2:$F$138,3,0)</f>
        <v>#N/A</v>
      </c>
      <c r="E696" s="3"/>
      <c r="F696" s="31" t="e">
        <f>VLOOKUP($C696,[3]INCUMBENT!$B$2:$F$138,5,0)</f>
        <v>#N/A</v>
      </c>
      <c r="G696" s="6">
        <v>42208</v>
      </c>
    </row>
    <row r="697" ht="19.5" customHeight="1" spans="2:7">
      <c r="B697" s="3">
        <v>15</v>
      </c>
      <c r="C697" s="5" t="s">
        <v>253</v>
      </c>
      <c r="D697" s="41" t="e">
        <f>VLOOKUP(C697,[3]INCUMBENT!$B$2:$F$138,3,0)</f>
        <v>#N/A</v>
      </c>
      <c r="E697" s="3"/>
      <c r="F697" s="31" t="e">
        <f>VLOOKUP($C697,[3]INCUMBENT!$B$2:$F$138,5,0)</f>
        <v>#N/A</v>
      </c>
      <c r="G697" s="6">
        <v>42208</v>
      </c>
    </row>
    <row r="698" ht="19.5" customHeight="1" spans="2:7">
      <c r="B698" s="3">
        <v>16</v>
      </c>
      <c r="C698" s="5" t="s">
        <v>1156</v>
      </c>
      <c r="D698" s="41" t="e">
        <f>VLOOKUP(C698,[3]INCUMBENT!$B$2:$F$138,3,0)</f>
        <v>#N/A</v>
      </c>
      <c r="E698" s="3"/>
      <c r="F698" s="31" t="e">
        <f>VLOOKUP($C698,[3]INCUMBENT!$B$2:$F$138,5,0)</f>
        <v>#N/A</v>
      </c>
      <c r="G698" s="6"/>
    </row>
    <row r="699" ht="19.5" customHeight="1" spans="2:7">
      <c r="B699" s="3">
        <v>17</v>
      </c>
      <c r="C699" s="5" t="s">
        <v>254</v>
      </c>
      <c r="D699" s="41" t="e">
        <f>VLOOKUP(C699,[3]INCUMBENT!$B$2:$F$138,3,0)</f>
        <v>#N/A</v>
      </c>
      <c r="E699" s="3"/>
      <c r="F699" s="31" t="e">
        <f>VLOOKUP($C699,[3]INCUMBENT!$B$2:$F$138,5,0)</f>
        <v>#N/A</v>
      </c>
      <c r="G699" s="6"/>
    </row>
    <row r="700" ht="19.5" customHeight="1" spans="2:7">
      <c r="B700" s="11"/>
    </row>
    <row r="701" ht="19.5" customHeight="1" spans="2:7">
      <c r="B701" s="11">
        <v>42290</v>
      </c>
    </row>
    <row r="702" ht="19.5" customHeight="1" spans="2:7">
      <c r="G702" s="78" t="s">
        <v>3483</v>
      </c>
    </row>
    <row r="703" spans="2:7">
      <c r="B703" s="78" t="s">
        <v>3481</v>
      </c>
      <c r="C703" s="78" t="s">
        <v>3</v>
      </c>
      <c r="D703" s="78" t="s">
        <v>3482</v>
      </c>
      <c r="E703" s="78" t="s">
        <v>3504</v>
      </c>
      <c r="F703" s="79" t="s">
        <v>745</v>
      </c>
      <c r="G703" s="6">
        <v>42201</v>
      </c>
    </row>
    <row r="704" spans="2:7">
      <c r="B704" s="41">
        <v>1</v>
      </c>
      <c r="C704" s="75" t="s">
        <v>203</v>
      </c>
      <c r="D704" s="41" t="s">
        <v>1146</v>
      </c>
      <c r="E704" s="41" t="s">
        <v>3480</v>
      </c>
      <c r="F704" s="31">
        <v>42229</v>
      </c>
      <c r="G704" s="6">
        <v>42201</v>
      </c>
    </row>
    <row r="705" spans="2:7">
      <c r="B705" s="41">
        <v>2</v>
      </c>
      <c r="C705" s="75" t="s">
        <v>204</v>
      </c>
      <c r="D705" s="41" t="s">
        <v>3581</v>
      </c>
      <c r="E705" s="41" t="s">
        <v>3480</v>
      </c>
      <c r="F705" s="31">
        <v>42233</v>
      </c>
      <c r="G705" s="6">
        <v>42201</v>
      </c>
    </row>
    <row r="706" spans="2:7">
      <c r="B706" s="3">
        <v>3</v>
      </c>
      <c r="C706" s="76" t="s">
        <v>207</v>
      </c>
      <c r="D706" s="3" t="s">
        <v>3582</v>
      </c>
      <c r="E706" s="3" t="s">
        <v>3480</v>
      </c>
      <c r="F706" s="6">
        <v>42233</v>
      </c>
      <c r="G706" s="6">
        <v>42201</v>
      </c>
    </row>
    <row r="707" spans="2:7">
      <c r="B707" s="3">
        <v>4</v>
      </c>
      <c r="C707" s="5" t="s">
        <v>1242</v>
      </c>
      <c r="D707" s="3" t="s">
        <v>3583</v>
      </c>
      <c r="E707" s="3" t="s">
        <v>3480</v>
      </c>
      <c r="F707" s="6">
        <v>42242</v>
      </c>
      <c r="G707" s="6">
        <v>42201</v>
      </c>
    </row>
    <row r="708" spans="2:7">
      <c r="B708" s="3">
        <v>5</v>
      </c>
      <c r="C708" s="5" t="s">
        <v>209</v>
      </c>
      <c r="D708" s="3" t="s">
        <v>1048</v>
      </c>
      <c r="E708" s="3" t="s">
        <v>3480</v>
      </c>
      <c r="F708" s="6">
        <v>42254</v>
      </c>
      <c r="G708" s="6">
        <v>42201</v>
      </c>
    </row>
    <row r="709" spans="2:7">
      <c r="B709" s="41">
        <v>6</v>
      </c>
      <c r="C709" s="30" t="s">
        <v>210</v>
      </c>
      <c r="D709" s="41" t="s">
        <v>3584</v>
      </c>
      <c r="E709" s="41" t="s">
        <v>3480</v>
      </c>
      <c r="F709" s="31">
        <v>42255</v>
      </c>
      <c r="G709" s="6">
        <v>42201</v>
      </c>
    </row>
    <row r="710" spans="2:7">
      <c r="B710" s="3">
        <v>7</v>
      </c>
      <c r="C710" s="5" t="s">
        <v>211</v>
      </c>
      <c r="D710" s="3" t="s">
        <v>3585</v>
      </c>
      <c r="E710" s="3" t="s">
        <v>3480</v>
      </c>
      <c r="F710" s="6">
        <v>42268</v>
      </c>
      <c r="G710" s="6">
        <v>42201</v>
      </c>
    </row>
    <row r="711" spans="2:7">
      <c r="B711" s="3">
        <v>8</v>
      </c>
      <c r="C711" s="5" t="s">
        <v>1594</v>
      </c>
      <c r="D711" s="3" t="s">
        <v>1070</v>
      </c>
      <c r="E711" s="3" t="s">
        <v>3480</v>
      </c>
      <c r="F711" s="6">
        <v>42268</v>
      </c>
      <c r="G711" s="31"/>
    </row>
    <row r="712" spans="2:7">
      <c r="B712" s="41">
        <v>9</v>
      </c>
      <c r="C712" s="30" t="s">
        <v>1896</v>
      </c>
      <c r="D712" s="41" t="s">
        <v>1070</v>
      </c>
      <c r="E712" s="41" t="s">
        <v>3480</v>
      </c>
      <c r="F712" s="31">
        <v>42269</v>
      </c>
      <c r="G712" s="6">
        <v>42201</v>
      </c>
    </row>
    <row r="713" spans="2:7">
      <c r="B713" s="3">
        <v>10</v>
      </c>
      <c r="C713" s="5" t="s">
        <v>2010</v>
      </c>
      <c r="D713" s="3" t="s">
        <v>3586</v>
      </c>
      <c r="E713" s="3" t="s">
        <v>3480</v>
      </c>
      <c r="F713" s="6">
        <v>42269</v>
      </c>
      <c r="G713" s="6">
        <v>42201</v>
      </c>
    </row>
    <row r="714" spans="2:7">
      <c r="B714" s="3">
        <v>11</v>
      </c>
      <c r="C714" s="5" t="s">
        <v>214</v>
      </c>
      <c r="D714" s="3" t="s">
        <v>3587</v>
      </c>
      <c r="E714" s="3" t="s">
        <v>3480</v>
      </c>
      <c r="F714" s="6">
        <v>42269</v>
      </c>
      <c r="G714" s="6">
        <v>42201</v>
      </c>
    </row>
    <row r="715" spans="2:7">
      <c r="B715" s="41">
        <v>12</v>
      </c>
      <c r="C715" s="30" t="s">
        <v>1922</v>
      </c>
      <c r="D715" s="41" t="s">
        <v>1048</v>
      </c>
      <c r="E715" s="41" t="s">
        <v>3480</v>
      </c>
      <c r="F715" s="31">
        <v>42269</v>
      </c>
      <c r="G715" s="6">
        <v>42201</v>
      </c>
    </row>
    <row r="716" spans="2:7">
      <c r="B716" s="41">
        <v>13</v>
      </c>
      <c r="C716" s="30" t="s">
        <v>1929</v>
      </c>
      <c r="D716" s="41" t="s">
        <v>3588</v>
      </c>
      <c r="E716" s="41" t="s">
        <v>3480</v>
      </c>
      <c r="F716" s="31">
        <v>42269</v>
      </c>
      <c r="G716" s="6">
        <v>42201</v>
      </c>
    </row>
    <row r="717" spans="2:7">
      <c r="B717" s="3">
        <v>14</v>
      </c>
      <c r="C717" s="5" t="s">
        <v>1501</v>
      </c>
      <c r="D717" s="3" t="s">
        <v>3588</v>
      </c>
      <c r="E717" s="3" t="s">
        <v>3480</v>
      </c>
      <c r="F717" s="6">
        <v>42285</v>
      </c>
      <c r="G717" s="6">
        <v>42201</v>
      </c>
    </row>
    <row r="718" spans="2:7">
      <c r="B718" s="41">
        <v>15</v>
      </c>
      <c r="C718" s="30" t="s">
        <v>177</v>
      </c>
      <c r="D718" s="41" t="s">
        <v>3583</v>
      </c>
      <c r="E718" s="41" t="s">
        <v>3480</v>
      </c>
      <c r="F718" s="31">
        <v>42170</v>
      </c>
      <c r="G718" s="6">
        <v>42201</v>
      </c>
    </row>
    <row r="719" spans="2:7">
      <c r="B719" s="41">
        <v>16</v>
      </c>
      <c r="C719" s="30" t="s">
        <v>2506</v>
      </c>
      <c r="D719" s="41" t="s">
        <v>3584</v>
      </c>
      <c r="E719" s="41" t="s">
        <v>3480</v>
      </c>
      <c r="F719" s="31">
        <v>42173</v>
      </c>
      <c r="G719" s="6">
        <v>42201</v>
      </c>
    </row>
    <row r="720" spans="2:7">
      <c r="B720" s="3">
        <v>17</v>
      </c>
      <c r="C720" s="5" t="s">
        <v>2626</v>
      </c>
      <c r="D720" s="3" t="s">
        <v>3586</v>
      </c>
      <c r="E720" s="3" t="s">
        <v>3480</v>
      </c>
      <c r="F720" s="6">
        <v>42191</v>
      </c>
      <c r="G720" s="6">
        <v>42201</v>
      </c>
    </row>
    <row r="721" spans="2:7">
      <c r="B721" s="3">
        <v>18</v>
      </c>
      <c r="C721" s="5" t="s">
        <v>1510</v>
      </c>
      <c r="D721" s="3" t="s">
        <v>2350</v>
      </c>
      <c r="E721" s="3"/>
      <c r="F721" s="6">
        <v>42290</v>
      </c>
      <c r="G721" s="6">
        <v>42201</v>
      </c>
    </row>
    <row r="722" spans="2:7">
      <c r="B722" s="11"/>
      <c r="G722" s="45"/>
    </row>
    <row r="723" spans="2:7">
      <c r="B723" s="11">
        <v>42219</v>
      </c>
    </row>
    <row r="725" spans="2:7">
      <c r="B725" s="78" t="s">
        <v>3481</v>
      </c>
      <c r="C725" s="78" t="s">
        <v>3</v>
      </c>
      <c r="D725" s="78" t="s">
        <v>3482</v>
      </c>
      <c r="E725" s="78" t="s">
        <v>3504</v>
      </c>
      <c r="F725" s="79" t="s">
        <v>745</v>
      </c>
      <c r="G725" s="78" t="s">
        <v>3483</v>
      </c>
    </row>
    <row r="726" spans="2:7">
      <c r="B726" s="3">
        <v>1</v>
      </c>
      <c r="C726" s="76" t="s">
        <v>2856</v>
      </c>
      <c r="D726" s="3" t="s">
        <v>1146</v>
      </c>
      <c r="E726" s="3" t="s">
        <v>3480</v>
      </c>
      <c r="F726" s="6">
        <v>42149</v>
      </c>
      <c r="G726" s="6">
        <v>42138</v>
      </c>
    </row>
    <row r="727" spans="2:7">
      <c r="B727" s="3">
        <v>2</v>
      </c>
      <c r="C727" s="76" t="s">
        <v>173</v>
      </c>
      <c r="D727" s="3" t="s">
        <v>3581</v>
      </c>
      <c r="E727" s="3" t="s">
        <v>3480</v>
      </c>
      <c r="F727" s="6">
        <v>42157</v>
      </c>
      <c r="G727" s="6">
        <v>42138</v>
      </c>
    </row>
    <row r="728" spans="2:7">
      <c r="B728" s="3">
        <v>3</v>
      </c>
      <c r="C728" s="76" t="s">
        <v>176</v>
      </c>
      <c r="D728" s="3" t="s">
        <v>3582</v>
      </c>
      <c r="E728" s="3" t="s">
        <v>3480</v>
      </c>
      <c r="F728" s="6">
        <v>42158</v>
      </c>
      <c r="G728" s="6">
        <v>42138</v>
      </c>
    </row>
    <row r="729" spans="2:7">
      <c r="B729" s="41">
        <v>4</v>
      </c>
      <c r="C729" s="30" t="s">
        <v>177</v>
      </c>
      <c r="D729" s="41" t="s">
        <v>3583</v>
      </c>
      <c r="E729" s="41" t="s">
        <v>3480</v>
      </c>
      <c r="F729" s="31">
        <v>42170</v>
      </c>
      <c r="G729" s="6">
        <v>42138</v>
      </c>
    </row>
    <row r="730" spans="2:7">
      <c r="B730" s="3">
        <v>5</v>
      </c>
      <c r="C730" s="5" t="s">
        <v>179</v>
      </c>
      <c r="D730" s="3" t="s">
        <v>1048</v>
      </c>
      <c r="E730" s="3" t="s">
        <v>3480</v>
      </c>
      <c r="F730" s="6">
        <v>42172</v>
      </c>
      <c r="G730" s="6">
        <v>42138</v>
      </c>
    </row>
    <row r="731" spans="2:7">
      <c r="B731" s="41">
        <v>6</v>
      </c>
      <c r="C731" s="30" t="s">
        <v>2506</v>
      </c>
      <c r="D731" s="41" t="s">
        <v>3584</v>
      </c>
      <c r="E731" s="41" t="s">
        <v>3480</v>
      </c>
      <c r="F731" s="31">
        <v>42173</v>
      </c>
      <c r="G731" s="6">
        <v>42138</v>
      </c>
    </row>
    <row r="732" spans="2:7">
      <c r="B732" s="3">
        <v>7</v>
      </c>
      <c r="C732" s="5" t="s">
        <v>1868</v>
      </c>
      <c r="D732" s="3" t="s">
        <v>3585</v>
      </c>
      <c r="E732" s="3" t="s">
        <v>3480</v>
      </c>
      <c r="F732" s="6">
        <v>42185</v>
      </c>
      <c r="G732" s="6">
        <v>42138</v>
      </c>
    </row>
    <row r="733" spans="2:7">
      <c r="B733" s="3">
        <v>8</v>
      </c>
      <c r="C733" s="5" t="s">
        <v>180</v>
      </c>
      <c r="D733" s="3" t="s">
        <v>1070</v>
      </c>
      <c r="E733" s="3" t="s">
        <v>3480</v>
      </c>
      <c r="F733" s="6">
        <v>42186</v>
      </c>
      <c r="G733" s="6">
        <v>42138</v>
      </c>
    </row>
    <row r="734" spans="2:7">
      <c r="B734" s="3">
        <v>9</v>
      </c>
      <c r="C734" s="5" t="s">
        <v>3050</v>
      </c>
      <c r="D734" s="3" t="s">
        <v>1070</v>
      </c>
      <c r="E734" s="3" t="s">
        <v>3480</v>
      </c>
      <c r="F734" s="6">
        <v>42187</v>
      </c>
      <c r="G734" s="6">
        <v>42138</v>
      </c>
    </row>
    <row r="735" spans="2:7">
      <c r="B735" s="41">
        <v>10</v>
      </c>
      <c r="C735" s="30" t="s">
        <v>2626</v>
      </c>
      <c r="D735" s="41" t="s">
        <v>3586</v>
      </c>
      <c r="E735" s="41" t="s">
        <v>3480</v>
      </c>
      <c r="F735" s="31">
        <v>42191</v>
      </c>
      <c r="G735" s="6">
        <v>42138</v>
      </c>
    </row>
    <row r="736" spans="2:7">
      <c r="B736" s="3">
        <v>11</v>
      </c>
      <c r="C736" s="5" t="s">
        <v>186</v>
      </c>
      <c r="D736" s="3" t="s">
        <v>3587</v>
      </c>
      <c r="E736" s="3" t="s">
        <v>3480</v>
      </c>
      <c r="F736" s="6">
        <v>42199</v>
      </c>
      <c r="G736" s="6">
        <v>42138</v>
      </c>
    </row>
    <row r="737" spans="2:7">
      <c r="B737" s="3">
        <v>12</v>
      </c>
      <c r="C737" s="5" t="s">
        <v>189</v>
      </c>
      <c r="D737" s="3" t="s">
        <v>1048</v>
      </c>
      <c r="E737" s="3" t="s">
        <v>3480</v>
      </c>
      <c r="F737" s="6">
        <v>42201</v>
      </c>
      <c r="G737" s="6">
        <v>42138</v>
      </c>
    </row>
    <row r="738" spans="2:7">
      <c r="B738" s="3">
        <v>13</v>
      </c>
      <c r="C738" s="5" t="s">
        <v>192</v>
      </c>
      <c r="D738" s="3" t="s">
        <v>3588</v>
      </c>
      <c r="E738" s="3" t="s">
        <v>3480</v>
      </c>
      <c r="F738" s="6">
        <v>42205</v>
      </c>
      <c r="G738" s="3"/>
    </row>
    <row r="739" spans="2:7">
      <c r="B739" s="3">
        <v>14</v>
      </c>
      <c r="C739" s="5" t="s">
        <v>190</v>
      </c>
      <c r="D739" s="3" t="s">
        <v>3588</v>
      </c>
      <c r="E739" s="3" t="s">
        <v>3480</v>
      </c>
      <c r="F739" s="6">
        <v>42205</v>
      </c>
      <c r="G739" s="6"/>
    </row>
    <row r="740" spans="2:7">
      <c r="B740" s="3">
        <v>15</v>
      </c>
      <c r="C740" s="5" t="s">
        <v>2559</v>
      </c>
      <c r="D740" s="3" t="s">
        <v>3588</v>
      </c>
      <c r="E740" s="3" t="s">
        <v>3480</v>
      </c>
      <c r="F740" s="6">
        <v>42205</v>
      </c>
    </row>
    <row r="741" spans="2:7">
      <c r="B741" s="3">
        <v>16</v>
      </c>
      <c r="C741" s="5" t="s">
        <v>2121</v>
      </c>
      <c r="D741" s="3" t="s">
        <v>3589</v>
      </c>
      <c r="E741" s="3" t="s">
        <v>3480</v>
      </c>
      <c r="F741" s="6">
        <v>42205</v>
      </c>
    </row>
    <row r="742" spans="2:7">
      <c r="B742" s="3">
        <v>17</v>
      </c>
      <c r="C742" s="5" t="s">
        <v>195</v>
      </c>
      <c r="D742" s="3" t="s">
        <v>3590</v>
      </c>
      <c r="E742" s="3" t="s">
        <v>3480</v>
      </c>
      <c r="F742" s="6">
        <v>42212</v>
      </c>
    </row>
    <row r="743" spans="2:7">
      <c r="B743" s="3">
        <v>18</v>
      </c>
      <c r="C743" s="5" t="s">
        <v>197</v>
      </c>
      <c r="D743" s="3" t="s">
        <v>1178</v>
      </c>
      <c r="E743" s="3"/>
      <c r="F743" s="6">
        <v>42219</v>
      </c>
    </row>
    <row r="744" spans="2:7">
      <c r="B744" s="3"/>
      <c r="C744" s="5"/>
      <c r="D744" s="3"/>
      <c r="E744" s="3"/>
      <c r="F744" s="6"/>
    </row>
    <row r="745" spans="2:7">
      <c r="B745" s="3"/>
      <c r="C745" s="5"/>
      <c r="D745" s="3"/>
      <c r="E745" s="3"/>
      <c r="F745" s="6"/>
    </row>
    <row r="746" spans="2:7">
      <c r="B746" s="11">
        <v>42202</v>
      </c>
    </row>
    <row r="748" spans="2:7">
      <c r="B748" s="78" t="s">
        <v>3481</v>
      </c>
      <c r="C748" s="78" t="s">
        <v>3</v>
      </c>
      <c r="D748" s="78" t="s">
        <v>3482</v>
      </c>
      <c r="E748" s="78" t="s">
        <v>3504</v>
      </c>
      <c r="F748" s="79" t="s">
        <v>745</v>
      </c>
    </row>
    <row r="749" spans="2:7">
      <c r="B749" s="3">
        <v>1</v>
      </c>
      <c r="C749" s="76" t="s">
        <v>139</v>
      </c>
      <c r="D749" s="3" t="s">
        <v>999</v>
      </c>
      <c r="E749" s="3" t="s">
        <v>3591</v>
      </c>
      <c r="F749" s="6">
        <v>42068</v>
      </c>
    </row>
    <row r="750" spans="2:7">
      <c r="B750" s="3">
        <v>2</v>
      </c>
      <c r="C750" s="76" t="s">
        <v>141</v>
      </c>
      <c r="D750" s="3" t="s">
        <v>1039</v>
      </c>
      <c r="E750" s="3" t="s">
        <v>3591</v>
      </c>
      <c r="F750" s="6">
        <v>42068</v>
      </c>
    </row>
    <row r="751" spans="2:7">
      <c r="B751" s="3">
        <v>3</v>
      </c>
      <c r="C751" s="76" t="s">
        <v>2492</v>
      </c>
      <c r="D751" s="3" t="s">
        <v>1281</v>
      </c>
      <c r="E751" s="3" t="s">
        <v>3591</v>
      </c>
      <c r="F751" s="6">
        <v>42142</v>
      </c>
    </row>
    <row r="752" spans="2:7">
      <c r="B752" s="3">
        <v>4</v>
      </c>
      <c r="C752" s="5" t="s">
        <v>1128</v>
      </c>
      <c r="D752" s="3" t="s">
        <v>1129</v>
      </c>
      <c r="E752" s="3" t="s">
        <v>3591</v>
      </c>
      <c r="F752" s="6">
        <v>42149</v>
      </c>
    </row>
    <row r="753" spans="2:7">
      <c r="B753" s="3">
        <v>5</v>
      </c>
      <c r="C753" s="5" t="s">
        <v>1215</v>
      </c>
      <c r="D753" s="3" t="s">
        <v>1197</v>
      </c>
      <c r="E753" s="3" t="s">
        <v>706</v>
      </c>
      <c r="F753" s="6">
        <v>42172</v>
      </c>
      <c r="G753" s="78" t="s">
        <v>3483</v>
      </c>
    </row>
    <row r="754" spans="2:7">
      <c r="B754" s="3">
        <v>6</v>
      </c>
      <c r="C754" s="5" t="s">
        <v>1416</v>
      </c>
      <c r="D754" s="3" t="s">
        <v>1281</v>
      </c>
      <c r="E754" s="3" t="s">
        <v>3591</v>
      </c>
      <c r="F754" s="6">
        <v>42184</v>
      </c>
      <c r="G754" s="6">
        <v>42095</v>
      </c>
    </row>
    <row r="755" spans="2:7">
      <c r="B755" s="3">
        <v>7</v>
      </c>
      <c r="C755" s="5" t="s">
        <v>1439</v>
      </c>
      <c r="D755" s="3" t="s">
        <v>1129</v>
      </c>
      <c r="E755" s="3" t="s">
        <v>3591</v>
      </c>
      <c r="F755" s="6">
        <v>42185</v>
      </c>
      <c r="G755" s="6">
        <v>42095</v>
      </c>
    </row>
    <row r="756" spans="2:7">
      <c r="B756" s="3">
        <v>8</v>
      </c>
      <c r="C756" s="5" t="s">
        <v>1423</v>
      </c>
      <c r="D756" s="3" t="s">
        <v>1281</v>
      </c>
      <c r="E756" s="3" t="s">
        <v>3591</v>
      </c>
      <c r="F756" s="6">
        <v>42185</v>
      </c>
      <c r="G756" s="6">
        <v>42095</v>
      </c>
    </row>
    <row r="757" spans="2:7">
      <c r="B757" s="41">
        <v>9</v>
      </c>
      <c r="C757" s="30" t="s">
        <v>937</v>
      </c>
      <c r="D757" s="41" t="s">
        <v>1039</v>
      </c>
      <c r="E757" s="41" t="s">
        <v>3591</v>
      </c>
      <c r="F757" s="31">
        <v>42186</v>
      </c>
      <c r="G757" s="6">
        <v>42095</v>
      </c>
    </row>
    <row r="758" spans="2:7">
      <c r="B758" s="3">
        <v>10</v>
      </c>
      <c r="C758" s="5" t="s">
        <v>1262</v>
      </c>
      <c r="D758" s="3" t="s">
        <v>1029</v>
      </c>
      <c r="E758" s="3" t="s">
        <v>3591</v>
      </c>
      <c r="F758" s="6">
        <v>42191</v>
      </c>
      <c r="G758" s="6">
        <v>42095</v>
      </c>
    </row>
    <row r="759" spans="2:7">
      <c r="B759" s="3">
        <v>11</v>
      </c>
      <c r="C759" s="5" t="s">
        <v>182</v>
      </c>
      <c r="D759" s="3" t="s">
        <v>1105</v>
      </c>
      <c r="E759" s="3" t="s">
        <v>3591</v>
      </c>
      <c r="F759" s="6">
        <v>42191</v>
      </c>
      <c r="G759" s="6">
        <v>42095</v>
      </c>
    </row>
    <row r="760" spans="2:7">
      <c r="B760" s="3">
        <v>12</v>
      </c>
      <c r="C760" s="5" t="s">
        <v>183</v>
      </c>
      <c r="D760" s="3" t="s">
        <v>1062</v>
      </c>
      <c r="E760" s="3" t="s">
        <v>3591</v>
      </c>
      <c r="F760" s="6">
        <v>42191</v>
      </c>
      <c r="G760" s="80" t="s">
        <v>3592</v>
      </c>
    </row>
    <row r="761" spans="2:7">
      <c r="B761" s="3">
        <v>13</v>
      </c>
      <c r="C761" s="5" t="s">
        <v>2841</v>
      </c>
      <c r="D761" s="3" t="s">
        <v>1105</v>
      </c>
      <c r="E761" s="3" t="s">
        <v>3591</v>
      </c>
      <c r="F761" s="6">
        <v>42191</v>
      </c>
      <c r="G761" s="6">
        <v>42095</v>
      </c>
    </row>
    <row r="762" spans="2:7">
      <c r="B762" s="3">
        <v>14</v>
      </c>
      <c r="C762" s="5" t="s">
        <v>579</v>
      </c>
      <c r="D762" s="3" t="s">
        <v>1039</v>
      </c>
      <c r="E762" s="3" t="s">
        <v>3591</v>
      </c>
      <c r="F762" s="6">
        <v>42191</v>
      </c>
      <c r="G762" s="6">
        <v>42095</v>
      </c>
    </row>
    <row r="763" spans="2:7">
      <c r="B763" s="3">
        <v>15</v>
      </c>
      <c r="C763" s="5" t="s">
        <v>2053</v>
      </c>
      <c r="D763" s="3" t="s">
        <v>3593</v>
      </c>
      <c r="E763" s="3" t="s">
        <v>3591</v>
      </c>
      <c r="F763" s="6">
        <v>42191</v>
      </c>
      <c r="G763" s="6">
        <v>42095</v>
      </c>
    </row>
    <row r="764" spans="2:7">
      <c r="B764" s="3">
        <v>16</v>
      </c>
      <c r="C764" s="5" t="s">
        <v>185</v>
      </c>
      <c r="D764" s="3" t="s">
        <v>1039</v>
      </c>
      <c r="E764" s="3" t="s">
        <v>3591</v>
      </c>
      <c r="F764" s="6">
        <v>42192</v>
      </c>
      <c r="G764" s="80" t="s">
        <v>3592</v>
      </c>
    </row>
    <row r="765" spans="2:7">
      <c r="B765" s="3">
        <v>17</v>
      </c>
      <c r="C765" s="5" t="s">
        <v>1408</v>
      </c>
      <c r="D765" s="3" t="s">
        <v>1039</v>
      </c>
      <c r="E765" s="3" t="s">
        <v>3591</v>
      </c>
      <c r="F765" s="6">
        <v>42193</v>
      </c>
      <c r="G765" s="6">
        <v>42095</v>
      </c>
    </row>
    <row r="766" spans="2:7">
      <c r="B766" s="3">
        <v>18</v>
      </c>
      <c r="C766" s="5" t="s">
        <v>1168</v>
      </c>
      <c r="D766" s="3" t="s">
        <v>3594</v>
      </c>
      <c r="E766" s="3" t="s">
        <v>3591</v>
      </c>
      <c r="F766" s="6">
        <v>42198</v>
      </c>
      <c r="G766" s="6">
        <v>42095</v>
      </c>
    </row>
    <row r="767" spans="2:7">
      <c r="B767" s="3">
        <v>19</v>
      </c>
      <c r="C767" s="5" t="s">
        <v>1788</v>
      </c>
      <c r="D767" s="3" t="s">
        <v>1129</v>
      </c>
      <c r="E767" s="3" t="s">
        <v>3591</v>
      </c>
      <c r="F767" s="6">
        <v>42198</v>
      </c>
      <c r="G767" s="6">
        <v>42095</v>
      </c>
    </row>
    <row r="768" spans="2:7">
      <c r="B768" s="47"/>
      <c r="C768" s="48"/>
      <c r="D768" s="47"/>
      <c r="E768" s="47"/>
      <c r="F768" s="45"/>
      <c r="G768" s="6">
        <v>42095</v>
      </c>
    </row>
    <row r="769" spans="2:7">
      <c r="B769" s="81">
        <v>42138</v>
      </c>
      <c r="G769" s="6">
        <v>42095</v>
      </c>
    </row>
    <row r="771" spans="2:7">
      <c r="B771" s="78" t="s">
        <v>3481</v>
      </c>
      <c r="C771" s="78" t="s">
        <v>3</v>
      </c>
      <c r="D771" s="78" t="s">
        <v>3482</v>
      </c>
      <c r="E771" s="78" t="s">
        <v>3504</v>
      </c>
      <c r="F771" s="79" t="s">
        <v>745</v>
      </c>
    </row>
    <row r="772" spans="2:7">
      <c r="B772" s="3">
        <v>1</v>
      </c>
      <c r="C772" s="76" t="s">
        <v>1996</v>
      </c>
      <c r="D772" s="3" t="s">
        <v>3595</v>
      </c>
      <c r="E772" s="3" t="s">
        <v>882</v>
      </c>
      <c r="F772" s="6">
        <v>42064</v>
      </c>
    </row>
    <row r="773" spans="2:7">
      <c r="B773" s="3">
        <v>2</v>
      </c>
      <c r="C773" s="76" t="s">
        <v>1061</v>
      </c>
      <c r="D773" s="3" t="s">
        <v>1062</v>
      </c>
      <c r="E773" s="3" t="s">
        <v>27</v>
      </c>
      <c r="F773" s="6">
        <v>42067</v>
      </c>
    </row>
    <row r="774" spans="2:7">
      <c r="B774" s="3">
        <v>5</v>
      </c>
      <c r="C774" s="76" t="s">
        <v>1310</v>
      </c>
      <c r="D774" s="3" t="s">
        <v>1029</v>
      </c>
      <c r="E774" s="3" t="s">
        <v>27</v>
      </c>
      <c r="F774" s="6">
        <v>42069</v>
      </c>
    </row>
    <row r="775" spans="2:7">
      <c r="B775" s="3">
        <v>6</v>
      </c>
      <c r="C775" s="5" t="s">
        <v>144</v>
      </c>
      <c r="D775" s="3" t="s">
        <v>1017</v>
      </c>
      <c r="E775" s="3" t="s">
        <v>3596</v>
      </c>
      <c r="F775" s="6">
        <v>42086</v>
      </c>
    </row>
    <row r="776" spans="2:7">
      <c r="B776" s="3">
        <v>7</v>
      </c>
      <c r="C776" s="5" t="s">
        <v>152</v>
      </c>
      <c r="D776" s="3" t="s">
        <v>1017</v>
      </c>
      <c r="E776" s="3" t="s">
        <v>3597</v>
      </c>
      <c r="F776" s="6">
        <v>42087</v>
      </c>
    </row>
    <row r="777" spans="2:7">
      <c r="B777" s="3">
        <v>8</v>
      </c>
      <c r="C777" s="5" t="s">
        <v>1104</v>
      </c>
      <c r="D777" s="3" t="s">
        <v>1105</v>
      </c>
      <c r="E777" s="3" t="s">
        <v>27</v>
      </c>
      <c r="F777" s="6">
        <v>42101</v>
      </c>
    </row>
    <row r="778" spans="2:7">
      <c r="B778" s="3">
        <v>9</v>
      </c>
      <c r="C778" s="5" t="s">
        <v>162</v>
      </c>
      <c r="D778" s="3" t="s">
        <v>3598</v>
      </c>
      <c r="E778" s="3" t="s">
        <v>2756</v>
      </c>
      <c r="F778" s="6">
        <v>42107</v>
      </c>
    </row>
    <row r="779" spans="2:7">
      <c r="B779" s="3">
        <v>10</v>
      </c>
      <c r="C779" s="5" t="s">
        <v>165</v>
      </c>
      <c r="D779" s="3" t="s">
        <v>3586</v>
      </c>
      <c r="E779" s="3" t="s">
        <v>3599</v>
      </c>
      <c r="F779" s="6">
        <v>42109</v>
      </c>
    </row>
    <row r="780" spans="2:7">
      <c r="B780" s="3">
        <v>11</v>
      </c>
      <c r="C780" s="5" t="s">
        <v>169</v>
      </c>
      <c r="D780" s="3" t="s">
        <v>1129</v>
      </c>
      <c r="E780" s="3" t="s">
        <v>3600</v>
      </c>
      <c r="F780" s="6">
        <v>42110</v>
      </c>
    </row>
    <row r="781" spans="2:7">
      <c r="B781" s="3">
        <v>12</v>
      </c>
      <c r="C781" s="5" t="s">
        <v>1280</v>
      </c>
      <c r="D781" s="3" t="s">
        <v>1062</v>
      </c>
      <c r="E781" s="3" t="s">
        <v>27</v>
      </c>
      <c r="F781" s="6">
        <v>42117</v>
      </c>
    </row>
    <row r="782" spans="2:7">
      <c r="B782" s="3">
        <v>13</v>
      </c>
      <c r="C782" s="5" t="s">
        <v>1047</v>
      </c>
      <c r="D782" s="3" t="s">
        <v>1048</v>
      </c>
      <c r="E782" s="3" t="s">
        <v>1049</v>
      </c>
      <c r="F782" s="6">
        <v>42121</v>
      </c>
    </row>
    <row r="783" spans="2:7">
      <c r="B783" s="3">
        <v>14</v>
      </c>
      <c r="C783" s="5" t="s">
        <v>1206</v>
      </c>
      <c r="D783" s="3" t="s">
        <v>1048</v>
      </c>
      <c r="E783" s="3" t="s">
        <v>1207</v>
      </c>
      <c r="F783" s="6">
        <v>42122</v>
      </c>
    </row>
    <row r="784" spans="2:7">
      <c r="B784" s="3"/>
      <c r="C784" s="5"/>
      <c r="D784" s="3"/>
      <c r="E784" s="3"/>
      <c r="F784" s="6"/>
    </row>
    <row r="785" spans="2:6">
      <c r="B785" s="3"/>
      <c r="C785" s="5"/>
      <c r="D785" s="3"/>
      <c r="E785" s="3"/>
      <c r="F785" s="6"/>
    </row>
    <row r="789" spans="2:6">
      <c r="B789" s="82">
        <v>65</v>
      </c>
      <c r="C789" s="83" t="s">
        <v>2743</v>
      </c>
      <c r="D789" s="82" t="s">
        <v>3584</v>
      </c>
      <c r="E789" s="82" t="s">
        <v>1906</v>
      </c>
      <c r="F789" s="84">
        <v>42079</v>
      </c>
    </row>
    <row r="790" spans="2:6">
      <c r="B790" s="82">
        <v>64</v>
      </c>
      <c r="C790" s="83" t="s">
        <v>142</v>
      </c>
      <c r="D790" s="82" t="s">
        <v>3584</v>
      </c>
      <c r="E790" s="82" t="s">
        <v>143</v>
      </c>
      <c r="F790" s="84">
        <v>42079</v>
      </c>
    </row>
    <row r="791" spans="2:6">
      <c r="B791" s="82">
        <v>63</v>
      </c>
      <c r="C791" s="83" t="s">
        <v>2453</v>
      </c>
      <c r="D791" s="82" t="s">
        <v>3584</v>
      </c>
      <c r="E791" s="82" t="s">
        <v>536</v>
      </c>
      <c r="F791" s="84">
        <v>42079</v>
      </c>
    </row>
    <row r="792" spans="2:6">
      <c r="B792" s="82">
        <v>66</v>
      </c>
      <c r="C792" s="83" t="s">
        <v>3601</v>
      </c>
      <c r="D792" s="82" t="s">
        <v>828</v>
      </c>
      <c r="E792" s="82" t="s">
        <v>3602</v>
      </c>
      <c r="F792" s="84">
        <v>42081</v>
      </c>
    </row>
    <row r="793" spans="2:6">
      <c r="B793" s="82">
        <v>70</v>
      </c>
      <c r="C793" s="83" t="s">
        <v>149</v>
      </c>
      <c r="D793" s="82" t="s">
        <v>3584</v>
      </c>
      <c r="E793" s="82" t="s">
        <v>1906</v>
      </c>
      <c r="F793" s="84">
        <v>42087</v>
      </c>
    </row>
    <row r="794" spans="2:6">
      <c r="B794" s="82">
        <v>58</v>
      </c>
      <c r="C794" s="83" t="s">
        <v>135</v>
      </c>
      <c r="D794" s="82" t="s">
        <v>3584</v>
      </c>
      <c r="E794" s="82" t="s">
        <v>3603</v>
      </c>
      <c r="F794" s="84">
        <v>42065</v>
      </c>
    </row>
    <row r="797" spans="2:6">
      <c r="B797" s="81">
        <v>42095</v>
      </c>
    </row>
    <row r="799" spans="2:6">
      <c r="B799" s="78" t="s">
        <v>3481</v>
      </c>
      <c r="C799" s="78" t="s">
        <v>3</v>
      </c>
      <c r="D799" s="78" t="s">
        <v>3482</v>
      </c>
      <c r="E799" s="78" t="s">
        <v>3504</v>
      </c>
      <c r="F799" s="79" t="s">
        <v>745</v>
      </c>
    </row>
    <row r="800" spans="2:6">
      <c r="B800" s="3">
        <v>1</v>
      </c>
      <c r="C800" s="76" t="s">
        <v>111</v>
      </c>
      <c r="D800" s="3" t="s">
        <v>1039</v>
      </c>
      <c r="E800" s="3" t="s">
        <v>3604</v>
      </c>
      <c r="F800" s="6">
        <v>41976</v>
      </c>
    </row>
    <row r="801" spans="2:6">
      <c r="B801" s="3">
        <v>2</v>
      </c>
      <c r="C801" s="76" t="s">
        <v>113</v>
      </c>
      <c r="D801" s="3" t="s">
        <v>3588</v>
      </c>
      <c r="E801" s="3" t="s">
        <v>2427</v>
      </c>
      <c r="F801" s="6">
        <v>41995</v>
      </c>
    </row>
    <row r="802" spans="2:6">
      <c r="B802" s="3">
        <v>3</v>
      </c>
      <c r="C802" s="76" t="s">
        <v>117</v>
      </c>
      <c r="D802" s="3" t="s">
        <v>1105</v>
      </c>
      <c r="E802" s="3" t="s">
        <v>27</v>
      </c>
      <c r="F802" s="6">
        <v>42003</v>
      </c>
    </row>
    <row r="803" spans="2:6">
      <c r="B803" s="3">
        <v>4</v>
      </c>
      <c r="C803" s="76" t="s">
        <v>124</v>
      </c>
      <c r="D803" s="3" t="s">
        <v>3605</v>
      </c>
      <c r="E803" s="3" t="s">
        <v>3606</v>
      </c>
      <c r="F803" s="6">
        <v>42009</v>
      </c>
    </row>
    <row r="804" spans="2:6">
      <c r="B804" s="3">
        <v>5</v>
      </c>
      <c r="C804" s="76" t="s">
        <v>127</v>
      </c>
      <c r="D804" s="3" t="s">
        <v>3586</v>
      </c>
      <c r="E804" s="3" t="s">
        <v>3607</v>
      </c>
      <c r="F804" s="6">
        <v>42016</v>
      </c>
    </row>
    <row r="805" spans="2:6">
      <c r="B805" s="3">
        <v>6</v>
      </c>
      <c r="C805" s="5" t="s">
        <v>129</v>
      </c>
      <c r="D805" s="3" t="s">
        <v>1048</v>
      </c>
      <c r="E805" s="3" t="s">
        <v>1207</v>
      </c>
      <c r="F805" s="6">
        <v>42016</v>
      </c>
    </row>
    <row r="806" spans="2:6">
      <c r="B806" s="3">
        <v>7</v>
      </c>
      <c r="C806" s="5" t="s">
        <v>1016</v>
      </c>
      <c r="D806" s="3" t="s">
        <v>1017</v>
      </c>
      <c r="E806" s="3" t="s">
        <v>1018</v>
      </c>
      <c r="F806" s="6">
        <v>42016</v>
      </c>
    </row>
    <row r="807" spans="2:6">
      <c r="B807" s="3">
        <v>8</v>
      </c>
      <c r="C807" s="5" t="s">
        <v>131</v>
      </c>
      <c r="D807" s="3" t="s">
        <v>3598</v>
      </c>
      <c r="E807" s="3" t="s">
        <v>3608</v>
      </c>
      <c r="F807" s="6">
        <v>42064</v>
      </c>
    </row>
    <row r="808" spans="2:6">
      <c r="B808" s="3">
        <v>9</v>
      </c>
      <c r="C808" s="5" t="s">
        <v>147</v>
      </c>
      <c r="D808" s="3" t="s">
        <v>1029</v>
      </c>
      <c r="E808" s="3" t="s">
        <v>1906</v>
      </c>
      <c r="F808" s="6">
        <v>42086</v>
      </c>
    </row>
    <row r="809" spans="2:6">
      <c r="B809" s="3">
        <v>10</v>
      </c>
      <c r="C809" s="5" t="s">
        <v>1069</v>
      </c>
      <c r="D809" s="3" t="s">
        <v>1017</v>
      </c>
      <c r="E809" s="3" t="s">
        <v>647</v>
      </c>
      <c r="F809" s="6">
        <v>42086</v>
      </c>
    </row>
    <row r="810" spans="2:6">
      <c r="B810" s="3">
        <v>11</v>
      </c>
      <c r="C810" s="5" t="s">
        <v>998</v>
      </c>
      <c r="D810" s="3" t="s">
        <v>999</v>
      </c>
      <c r="E810" s="3" t="s">
        <v>27</v>
      </c>
      <c r="F810" s="6">
        <v>42088</v>
      </c>
    </row>
    <row r="811" spans="2:6">
      <c r="B811" s="3">
        <v>12</v>
      </c>
      <c r="C811" s="5" t="s">
        <v>155</v>
      </c>
      <c r="D811" s="3" t="s">
        <v>3598</v>
      </c>
      <c r="E811" s="3" t="s">
        <v>27</v>
      </c>
      <c r="F811" s="6">
        <v>42093</v>
      </c>
    </row>
    <row r="812" spans="2:6">
      <c r="B812" s="3">
        <v>13</v>
      </c>
      <c r="C812" s="5" t="s">
        <v>159</v>
      </c>
      <c r="D812" s="3" t="s">
        <v>1048</v>
      </c>
      <c r="E812" s="3" t="s">
        <v>136</v>
      </c>
      <c r="F812" s="6">
        <v>42093</v>
      </c>
    </row>
    <row r="813" spans="2:6">
      <c r="B813" s="3">
        <v>14</v>
      </c>
      <c r="C813" s="5" t="s">
        <v>157</v>
      </c>
      <c r="D813" s="3" t="s">
        <v>1048</v>
      </c>
      <c r="E813" s="3" t="s">
        <v>1226</v>
      </c>
      <c r="F813" s="6">
        <v>42093</v>
      </c>
    </row>
    <row r="814" spans="2:6">
      <c r="B814" s="3">
        <v>15</v>
      </c>
      <c r="C814" s="5" t="s">
        <v>160</v>
      </c>
      <c r="D814" s="3" t="s">
        <v>1105</v>
      </c>
      <c r="E814" s="3" t="s">
        <v>3609</v>
      </c>
      <c r="F814" s="6">
        <v>42094</v>
      </c>
    </row>
    <row r="815" spans="2:6">
      <c r="B815" s="3">
        <v>16</v>
      </c>
      <c r="C815" s="5" t="s">
        <v>2673</v>
      </c>
      <c r="D815" s="3" t="s">
        <v>1029</v>
      </c>
      <c r="E815" s="3" t="s">
        <v>27</v>
      </c>
      <c r="F815" s="6">
        <v>42094</v>
      </c>
    </row>
  </sheetData>
  <mergeCells count="1">
    <mergeCell ref="H288:H291"/>
  </mergeCells>
  <pageMargins left="0.699305555555556" right="0.699305555555556" top="0.75" bottom="0.75" header="0.3" footer="0.3"/>
  <pageSetup paperSize="9" orientation="portrait"/>
  <headerFooter/>
  <tableParts count="10">
    <tablePart r:id="rId1"/>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INCUMBENT </vt:lpstr>
      <vt:lpstr>EXIT</vt:lpstr>
      <vt:lpstr>NEO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2006-09-16T08:00:00Z</dcterms:created>
  <dcterms:modified xsi:type="dcterms:W3CDTF">2026-01-29T20:06:02Z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143AED72CE5CE2772A4D7B695A896BD6_43</vt:lpwstr>
  </property>
  <property fmtid="{D5CDD505-2E9C-101B-9397-08002B2CF9AE}" pid="4" name="CalculationRule">
    <vt:i4>0</vt:i4>
  </property>
</Properties>
</file>